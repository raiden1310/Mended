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Service Catalog" sheetId="3" state="visible" r:id="rId5"/>
    <sheet name="Estimator" sheetId="4" state="visible" r:id="rId6"/>
    <sheet name="Sources" sheetId="5" state="visible" r:id="rId7"/>
  </sheets>
  <definedNames>
    <definedName function="false" hidden="true" localSheetId="2" name="_xlnm._FilterDatabase" vbProcedure="false">'Service Catalog'!$A$4:$W$76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<sst xmlns="http://schemas.openxmlformats.org/spreadsheetml/2006/main" count="802" uniqueCount="379">
  <si>
    <t xml:space="preserve">US Fine Jewelry Repair Price &amp; Turnaround Catalog</t>
  </si>
  <si>
    <t xml:space="preserve">Seed data for the repair-desk estimate engine. Prepared 3 Oct 2026.</t>
  </si>
  <si>
    <t xml:space="preserve">What this is</t>
  </si>
  <si>
    <t xml:space="preserve">Typical US retail customer prices for common fine-jewelry repairs, by metal (14K, 18K, platinum), with low / typical / high ranges and turnaround for in-house bench vs sent out.</t>
  </si>
  <si>
    <t xml:space="preserve">How it was built</t>
  </si>
  <si>
    <t xml:space="preserve">1. 14K low / typical / high prices are inputs (blue), synthesized from published US jeweler price lists (see Sources tab). Typical leans on the most complete list (S1) and is cross-checked against the others.</t>
  </si>
  <si>
    <t xml:space="preserve">2. 18K and platinum prices are formulas: 14K price x metal multiplier from the Assumptions tab. Each service carries a metal class: L (labor only), P (partial metal), H (heavy metal, e.g. sizing up, shanks).</t>
  </si>
  <si>
    <t xml:space="preserve">3. Pricing logic follows the method David Geller teaches (Geller's Blue Book): labor priced per task plus materials marked up about 3x cost, so metal-heavy jobs scale with metal type and spot price (S9). Geller's Blue Book itself is a paid, copyrighted guide; its price tables are NOT reproduced here.</t>
  </si>
  <si>
    <t xml:space="preserve">4. Turnaround is in business days, from public jeweler and mail-in repair guidance (S6 to S8) plus typical bench practice. Sent-out includes transit to a trade shop or central hub.</t>
  </si>
  <si>
    <t xml:space="preserve">Tabs</t>
  </si>
  <si>
    <t xml:space="preserve">Assumptions: metal multipliers and add-on fees. Edit the yellow cells to re-price the whole catalog.</t>
  </si>
  <si>
    <t xml:space="preserve">Service Catalog: 70 services with codes, price drivers, prices by metal, turnaround, and an intake capture checklist for the AI.</t>
  </si>
  <si>
    <t xml:space="preserve">Estimator: pick a service code and metal to get an estimate and promised dates. Works as a test harness for the engine logic.</t>
  </si>
  <si>
    <t xml:space="preserve">Sources: every source referenced by code (S1 to S9).</t>
  </si>
  <si>
    <t xml:space="preserve">Color legend</t>
  </si>
  <si>
    <t xml:space="preserve">Blue text = hardcoded input from research or assumption. Black text = formula. Green text = pulled from another tab. Yellow fill = key assumption to validate.</t>
  </si>
  <si>
    <t xml:space="preserve">Caveats</t>
  </si>
  <si>
    <t xml:space="preserve">Prices are independent-jeweler retail benchmarks, 2020 to 2025 lists, not chain-specific. Chains often discount sizing at purchase and clean for free. Gold and platinum spot prices move metal-heavy jobs most (sizing up, shanks). Validate with 2 to 3 chains' actual repair price books during discovery before using in production.</t>
  </si>
  <si>
    <t xml:space="preserve">Assumptions</t>
  </si>
  <si>
    <t xml:space="preserve">Metal multipliers applied to 14K prices. Yellow cells are the levers to validate.</t>
  </si>
  <si>
    <t xml:space="preserve">Class</t>
  </si>
  <si>
    <t xml:space="preserve">Description</t>
  </si>
  <si>
    <t xml:space="preserve">14K</t>
  </si>
  <si>
    <t xml:space="preserve">18K</t>
  </si>
  <si>
    <t xml:space="preserve">Platinum</t>
  </si>
  <si>
    <t xml:space="preserve">Basis / source</t>
  </si>
  <si>
    <t xml:space="preserve">L</t>
  </si>
  <si>
    <t xml:space="preserve">Labor only: polishing, tightening, plating, restringing, engraving</t>
  </si>
  <si>
    <t xml:space="preserve">S5: platinum polish and tightening $60 vs $50 gold (+20%). 18K labor same as 14K.</t>
  </si>
  <si>
    <t xml:space="preserve">P</t>
  </si>
  <si>
    <t xml:space="preserve">Partial metal: prongs, solder joints, heads, clasps, posts, chain work</t>
  </si>
  <si>
    <t xml:space="preserve">Judgment between S5 (platinum solder +17%) and S1 (platinum solder 3x). Platinum needs higher heat, separate tools, more finishing time. Validate.</t>
  </si>
  <si>
    <t xml:space="preserve">H</t>
  </si>
  <si>
    <t xml:space="preserve">Heavy metal: sizing up, shanks, sizing beads, butterfly inserts</t>
  </si>
  <si>
    <t xml:space="preserve">S1: 18K add 20%, platinum triple for sizing and shanks. S9: material marked up ~3x cost.</t>
  </si>
  <si>
    <t xml:space="preserve">Add-on fees</t>
  </si>
  <si>
    <t xml:space="preserve">White gold re-rhodium after bench work (per item)</t>
  </si>
  <si>
    <t xml:space="preserve">S1: white gold + rhodium $10 extra on sizing</t>
  </si>
  <si>
    <t xml:space="preserve">Rush fee (per job)</t>
  </si>
  <si>
    <t xml:space="preserve">S1: rush job $50</t>
  </si>
  <si>
    <t xml:space="preserve">Fancy-shape stone uplift (setting / head jobs)</t>
  </si>
  <si>
    <t xml:space="preserve">S1: fancy shapes +15%</t>
  </si>
  <si>
    <t xml:space="preserve">Bezel setting uplift</t>
  </si>
  <si>
    <t xml:space="preserve">S1: bezels add 20%</t>
  </si>
  <si>
    <t xml:space="preserve">Stone sourcing adds to turnaround (business days, max)</t>
  </si>
  <si>
    <t xml:space="preserve">S6: stone sourcing up to four weeks</t>
  </si>
  <si>
    <t xml:space="preserve">Service Catalog: US fine jewelry repair, retail prices and turnaround</t>
  </si>
  <si>
    <t xml:space="preserve">Prices in USD, retail to customer. 14K values are inputs (blue); 18K and platinum are formulas off the Assumptions tab. Turnaround in business days.</t>
  </si>
  <si>
    <t xml:space="preserve">Service</t>
  </si>
  <si>
    <t xml:space="preserve">14K price ($)</t>
  </si>
  <si>
    <t xml:space="preserve">18K price ($)</t>
  </si>
  <si>
    <t xml:space="preserve">Platinum price ($)</t>
  </si>
  <si>
    <t xml:space="preserve">Add-on</t>
  </si>
  <si>
    <t xml:space="preserve">In-house bench (days)</t>
  </si>
  <si>
    <t xml:space="preserve">Sent out (days)</t>
  </si>
  <si>
    <t xml:space="preserve">Engine fields</t>
  </si>
  <si>
    <t xml:space="preserve">Code</t>
  </si>
  <si>
    <t xml:space="preserve">Category</t>
  </si>
  <si>
    <t xml:space="preserve">Unit</t>
  </si>
  <si>
    <t xml:space="preserve">Price driver</t>
  </si>
  <si>
    <t xml:space="preserve">Metal class</t>
  </si>
  <si>
    <t xml:space="preserve">Low</t>
  </si>
  <si>
    <t xml:space="preserve">Typical</t>
  </si>
  <si>
    <t xml:space="preserve">High</t>
  </si>
  <si>
    <t xml:space="preserve">Each add'l unit (14K typ)</t>
  </si>
  <si>
    <t xml:space="preserve">Min</t>
  </si>
  <si>
    <t xml:space="preserve">Max</t>
  </si>
  <si>
    <t xml:space="preserve">Same-day eligible</t>
  </si>
  <si>
    <t xml:space="preserve">Intake capture checklist (for AI)</t>
  </si>
  <si>
    <t xml:space="preserve">Sources</t>
  </si>
  <si>
    <t xml:space="preserve">SZ-01</t>
  </si>
  <si>
    <t xml:space="preserve">Sizing</t>
  </si>
  <si>
    <t xml:space="preserve">Size down, ladies band up to 3mm</t>
  </si>
  <si>
    <t xml:space="preserve">per ring</t>
  </si>
  <si>
    <t xml:space="preserve">Width, sizes down, stones in shank</t>
  </si>
  <si>
    <t xml:space="preserve">Yes</t>
  </si>
  <si>
    <t xml:space="preserve">Photo: inside shank (karat stamp, existing solder seams), top view. Record current and target size, band width (mm), stones in shank, engraving to protect.</t>
  </si>
  <si>
    <t xml:space="preserve">S1,S2,S3,S4,S5</t>
  </si>
  <si>
    <t xml:space="preserve">SZ-02</t>
  </si>
  <si>
    <t xml:space="preserve">Size up 1 size, ladies band up to 3mm</t>
  </si>
  <si>
    <t xml:space="preserve">Width, sizes up (add'l per size)</t>
  </si>
  <si>
    <t xml:space="preserve">S1,S2,S4</t>
  </si>
  <si>
    <t xml:space="preserve">SZ-03</t>
  </si>
  <si>
    <t xml:space="preserve">Size down, gents / wide band over 3mm</t>
  </si>
  <si>
    <t xml:space="preserve">Width, profile (comfort fit adds time)</t>
  </si>
  <si>
    <t xml:space="preserve">S1,S4</t>
  </si>
  <si>
    <t xml:space="preserve">SZ-04</t>
  </si>
  <si>
    <t xml:space="preserve">Size up 1 size, gents / wide band over 3mm</t>
  </si>
  <si>
    <t xml:space="preserve">No</t>
  </si>
  <si>
    <t xml:space="preserve">SZ-05</t>
  </si>
  <si>
    <t xml:space="preserve">Sizing with channel / pave / eternity stones in shank</t>
  </si>
  <si>
    <t xml:space="preserve">Stone count in shank, stone re-tightening</t>
  </si>
  <si>
    <t xml:space="preserve">S4</t>
  </si>
  <si>
    <t xml:space="preserve">SZ-06</t>
  </si>
  <si>
    <t xml:space="preserve">Sizing beads / bumps (pair)</t>
  </si>
  <si>
    <t xml:space="preserve">Bead size</t>
  </si>
  <si>
    <t xml:space="preserve">S1,S2</t>
  </si>
  <si>
    <t xml:space="preserve">SZ-07</t>
  </si>
  <si>
    <t xml:space="preserve">Spring / butterfly sizing insert</t>
  </si>
  <si>
    <t xml:space="preserve">Shank width</t>
  </si>
  <si>
    <t xml:space="preserve">S1</t>
  </si>
  <si>
    <t xml:space="preserve">SZ-08</t>
  </si>
  <si>
    <t xml:space="preserve">Emergency ring removal (cut off)</t>
  </si>
  <si>
    <t xml:space="preserve">Metal hardness (platinum, tungsten)</t>
  </si>
  <si>
    <t xml:space="preserve">S6</t>
  </si>
  <si>
    <t xml:space="preserve">SH-01</t>
  </si>
  <si>
    <t xml:space="preserve">Shank</t>
  </si>
  <si>
    <t xml:space="preserve">Quarter shank replacement, up to 3mm</t>
  </si>
  <si>
    <t xml:space="preserve">Width, profile</t>
  </si>
  <si>
    <t xml:space="preserve">Photo: thinnest point of shank with caliper reading (mm), any cracks, top view. Record width, metal, stones near repair area.</t>
  </si>
  <si>
    <t xml:space="preserve">SH-02</t>
  </si>
  <si>
    <t xml:space="preserve">Half shank replacement, up to 3mm</t>
  </si>
  <si>
    <t xml:space="preserve">SH-03</t>
  </si>
  <si>
    <t xml:space="preserve">Half shank replacement, 3 to 5mm</t>
  </si>
  <si>
    <t xml:space="preserve">SH-04</t>
  </si>
  <si>
    <t xml:space="preserve">Half shank replacement, 6 to 8mm</t>
  </si>
  <si>
    <t xml:space="preserve">SH-05</t>
  </si>
  <si>
    <t xml:space="preserve">Three-quarter shank replacement, up to 3mm</t>
  </si>
  <si>
    <t xml:space="preserve">SH-06</t>
  </si>
  <si>
    <t xml:space="preserve">Full shank / reshank, 3 to 5mm</t>
  </si>
  <si>
    <t xml:space="preserve">Width, stones in shank</t>
  </si>
  <si>
    <t xml:space="preserve">S2,S4</t>
  </si>
  <si>
    <t xml:space="preserve">SH-07</t>
  </si>
  <si>
    <t xml:space="preserve">Solder break in shank</t>
  </si>
  <si>
    <t xml:space="preserve">Location of break, stones near joint</t>
  </si>
  <si>
    <t xml:space="preserve">SH-08</t>
  </si>
  <si>
    <t xml:space="preserve">Solder 2 rings together (wedding set)</t>
  </si>
  <si>
    <t xml:space="preserve">per set</t>
  </si>
  <si>
    <t xml:space="preserve">Ring widths</t>
  </si>
  <si>
    <t xml:space="preserve">S1,S2,S5</t>
  </si>
  <si>
    <t xml:space="preserve">SH-09</t>
  </si>
  <si>
    <t xml:space="preserve">Solder 3 rings together</t>
  </si>
  <si>
    <t xml:space="preserve">S1,S5</t>
  </si>
  <si>
    <t xml:space="preserve">SH-10</t>
  </si>
  <si>
    <t xml:space="preserve">Cut soldered rings apart and refinish</t>
  </si>
  <si>
    <t xml:space="preserve">Number of joints</t>
  </si>
  <si>
    <t xml:space="preserve">SH-11</t>
  </si>
  <si>
    <t xml:space="preserve">Reshape out-of-round / bent band and refinish</t>
  </si>
  <si>
    <t xml:space="preserve">Severity</t>
  </si>
  <si>
    <t xml:space="preserve">SH-12</t>
  </si>
  <si>
    <t xml:space="preserve">Interior guard / reinforcement plate</t>
  </si>
  <si>
    <t xml:space="preserve">Width, length</t>
  </si>
  <si>
    <t xml:space="preserve">PR-01</t>
  </si>
  <si>
    <t xml:space="preserve">Prongs &amp; heads</t>
  </si>
  <si>
    <t xml:space="preserve">Retip prong (first prong)</t>
  </si>
  <si>
    <t xml:space="preserve">per prong</t>
  </si>
  <si>
    <t xml:space="preserve">Prong count (add'l per prong), size</t>
  </si>
  <si>
    <t xml:space="preserve">Macro photo of each prong from 2 angles; count worn / missing prongs. Record center stone shape, est. carat, chips, loose stone (tap test).</t>
  </si>
  <si>
    <t xml:space="preserve">S1,S2,S3,S4</t>
  </si>
  <si>
    <t xml:space="preserve">PR-02</t>
  </si>
  <si>
    <t xml:space="preserve">Rebuild full prong (first prong)</t>
  </si>
  <si>
    <t xml:space="preserve">Prong count (add'l per prong)</t>
  </si>
  <si>
    <t xml:space="preserve">S1,S2,S3</t>
  </si>
  <si>
    <t xml:space="preserve">PR-03</t>
  </si>
  <si>
    <t xml:space="preserve">Retip all prongs, 4-prong solitaire</t>
  </si>
  <si>
    <t xml:space="preserve">per head</t>
  </si>
  <si>
    <t xml:space="preserve">Center stone size, prong wear</t>
  </si>
  <si>
    <t xml:space="preserve">PR-04</t>
  </si>
  <si>
    <t xml:space="preserve">V-prong rebuild (princess / marquise corner)</t>
  </si>
  <si>
    <t xml:space="preserve">Prong count</t>
  </si>
  <si>
    <t xml:space="preserve">PR-05</t>
  </si>
  <si>
    <t xml:space="preserve">Straighten / smooth prongs and refinish</t>
  </si>
  <si>
    <t xml:space="preserve">PR-06</t>
  </si>
  <si>
    <t xml:space="preserve">Replace head and reset center, .01 to .25ct</t>
  </si>
  <si>
    <t xml:space="preserve">Carat, shape (fancy +15%)</t>
  </si>
  <si>
    <t xml:space="preserve">PR-07</t>
  </si>
  <si>
    <t xml:space="preserve">Replace head and reset center, .26 to .50ct</t>
  </si>
  <si>
    <t xml:space="preserve">PR-08</t>
  </si>
  <si>
    <t xml:space="preserve">Replace head and reset center, .51 to 1.00ct</t>
  </si>
  <si>
    <t xml:space="preserve">PR-09</t>
  </si>
  <si>
    <t xml:space="preserve">Replace head and reset center, 1.01 to 2.00ct</t>
  </si>
  <si>
    <t xml:space="preserve">PR-10</t>
  </si>
  <si>
    <t xml:space="preserve">Straighten / lower / reinstall head</t>
  </si>
  <si>
    <t xml:space="preserve">Head style</t>
  </si>
  <si>
    <t xml:space="preserve">ST-01</t>
  </si>
  <si>
    <t xml:space="preserve">Stones</t>
  </si>
  <si>
    <t xml:space="preserve">Tighten center stone (incl. refinish)</t>
  </si>
  <si>
    <t xml:space="preserve">Setting type</t>
  </si>
  <si>
    <t xml:space="preserve">Macro photo of every stone; mark missing / chipped / loose on a ring map. Record stone type, est. size, setting style. Flag heat-sensitive stones (emerald, opal, tanzanite, pearl).</t>
  </si>
  <si>
    <t xml:space="preserve">S1,S2,S3,S5</t>
  </si>
  <si>
    <t xml:space="preserve">ST-02</t>
  </si>
  <si>
    <t xml:space="preserve">Tighten side / accent stones (first stone)</t>
  </si>
  <si>
    <t xml:space="preserve">per stone</t>
  </si>
  <si>
    <t xml:space="preserve">Stone count (add'l per stone)</t>
  </si>
  <si>
    <t xml:space="preserve">ST-03</t>
  </si>
  <si>
    <t xml:space="preserve">Tighten channel / baguette stones (first stone)</t>
  </si>
  <si>
    <t xml:space="preserve">ST-04</t>
  </si>
  <si>
    <t xml:space="preserve">Tighten bezel-set stone (first stone)</t>
  </si>
  <si>
    <t xml:space="preserve">ST-05</t>
  </si>
  <si>
    <t xml:space="preserve">Set stone up to .10ct (labor; stone extra)</t>
  </si>
  <si>
    <t xml:space="preserve">Carat, shape (fancy +15%), bezel +20%</t>
  </si>
  <si>
    <t xml:space="preserve">ST-06</t>
  </si>
  <si>
    <t xml:space="preserve">Set stone .11 to .25ct (labor; stone extra)</t>
  </si>
  <si>
    <t xml:space="preserve">Carat, shape, setting style</t>
  </si>
  <si>
    <t xml:space="preserve">ST-07</t>
  </si>
  <si>
    <t xml:space="preserve">Set stone .26 to .75ct (labor; stone extra)</t>
  </si>
  <si>
    <t xml:space="preserve">ST-08</t>
  </si>
  <si>
    <t xml:space="preserve">Set stone .76 to 1.00ct (labor; stone extra)</t>
  </si>
  <si>
    <t xml:space="preserve">ST-09</t>
  </si>
  <si>
    <t xml:space="preserve">Set stone 1.01 to 2.00ct (labor; stone extra)</t>
  </si>
  <si>
    <t xml:space="preserve">ST-10</t>
  </si>
  <si>
    <t xml:space="preserve">Replace missing melee (labor; stone billed separately)</t>
  </si>
  <si>
    <t xml:space="preserve">Stone size, count, matching</t>
  </si>
  <si>
    <t xml:space="preserve">S3,S5</t>
  </si>
  <si>
    <t xml:space="preserve">ST-11</t>
  </si>
  <si>
    <t xml:space="preserve">Rebuild channel wall</t>
  </si>
  <si>
    <t xml:space="preserve">per mm</t>
  </si>
  <si>
    <t xml:space="preserve">Length in mm</t>
  </si>
  <si>
    <t xml:space="preserve">ST-12</t>
  </si>
  <si>
    <t xml:space="preserve">Remove stone for customer / re-use</t>
  </si>
  <si>
    <t xml:space="preserve">CH-01</t>
  </si>
  <si>
    <t xml:space="preserve">Chains &amp; clasps</t>
  </si>
  <si>
    <t xml:space="preserve">Solder chain break, solid link</t>
  </si>
  <si>
    <t xml:space="preserve">per break</t>
  </si>
  <si>
    <t xml:space="preserve">Link style</t>
  </si>
  <si>
    <t xml:space="preserve">Photo full length and the break / clasp close-up. Record length, link style, solid vs hollow, karat stamp, number of breaks or kinks.</t>
  </si>
  <si>
    <t xml:space="preserve">S1,S3,S4</t>
  </si>
  <si>
    <t xml:space="preserve">CH-02</t>
  </si>
  <si>
    <t xml:space="preserve">Solder hollow chain break</t>
  </si>
  <si>
    <t xml:space="preserve">Link style, wall thickness</t>
  </si>
  <si>
    <t xml:space="preserve">CH-03</t>
  </si>
  <si>
    <t xml:space="preserve">Repair rope / herringbone (incl. kink)</t>
  </si>
  <si>
    <t xml:space="preserve">Kink length, link style</t>
  </si>
  <si>
    <t xml:space="preserve">CH-04</t>
  </si>
  <si>
    <t xml:space="preserve">Replace spring ring clasp (supply and install)</t>
  </si>
  <si>
    <t xml:space="preserve">per clasp</t>
  </si>
  <si>
    <t xml:space="preserve">Clasp size 6 to 8mm</t>
  </si>
  <si>
    <t xml:space="preserve">CH-05</t>
  </si>
  <si>
    <t xml:space="preserve">Replace lobster clasp, small or medium</t>
  </si>
  <si>
    <t xml:space="preserve">Clasp size</t>
  </si>
  <si>
    <t xml:space="preserve">CH-06</t>
  </si>
  <si>
    <t xml:space="preserve">Replace lobster clasp, large</t>
  </si>
  <si>
    <t xml:space="preserve">CH-07</t>
  </si>
  <si>
    <t xml:space="preserve">Replace box clasp / tongue repair</t>
  </si>
  <si>
    <t xml:space="preserve">Clasp style</t>
  </si>
  <si>
    <t xml:space="preserve">CH-08</t>
  </si>
  <si>
    <t xml:space="preserve">Supply and solder jump ring</t>
  </si>
  <si>
    <t xml:space="preserve">Gauge</t>
  </si>
  <si>
    <t xml:space="preserve">CH-09</t>
  </si>
  <si>
    <t xml:space="preserve">Add safety chain (bracelet)</t>
  </si>
  <si>
    <t xml:space="preserve">per item</t>
  </si>
  <si>
    <t xml:space="preserve">Length</t>
  </si>
  <si>
    <t xml:space="preserve">CH-10</t>
  </si>
  <si>
    <t xml:space="preserve">Add figure-8 safety</t>
  </si>
  <si>
    <t xml:space="preserve">Size</t>
  </si>
  <si>
    <t xml:space="preserve">CH-11</t>
  </si>
  <si>
    <t xml:space="preserve">Tighten / adjust clasp or tongue</t>
  </si>
  <si>
    <t xml:space="preserve">CH-12</t>
  </si>
  <si>
    <t xml:space="preserve">Shorten chain (remove links and solder)</t>
  </si>
  <si>
    <t xml:space="preserve">CH-13</t>
  </si>
  <si>
    <t xml:space="preserve">Rivet or tube repair (bracelet / hinge)</t>
  </si>
  <si>
    <t xml:space="preserve">per joint</t>
  </si>
  <si>
    <t xml:space="preserve">Joint type</t>
  </si>
  <si>
    <t xml:space="preserve">ER-01</t>
  </si>
  <si>
    <t xml:space="preserve">Earrings &amp; pendants</t>
  </si>
  <si>
    <t xml:space="preserve">Replace earring post (supply and solder)</t>
  </si>
  <si>
    <t xml:space="preserve">per earring</t>
  </si>
  <si>
    <t xml:space="preserve">Post gauge, stones near joint</t>
  </si>
  <si>
    <t xml:space="preserve">Photo front and back of each piece. Record pair vs single, post / back type, karat stamp.</t>
  </si>
  <si>
    <t xml:space="preserve">ER-02</t>
  </si>
  <si>
    <t xml:space="preserve">Straighten bent post</t>
  </si>
  <si>
    <t xml:space="preserve">S4,S6</t>
  </si>
  <si>
    <t xml:space="preserve">ER-03</t>
  </si>
  <si>
    <t xml:space="preserve">Reattach dangle / replace jump ring</t>
  </si>
  <si>
    <t xml:space="preserve">Jump ring gauge</t>
  </si>
  <si>
    <t xml:space="preserve">ER-04</t>
  </si>
  <si>
    <t xml:space="preserve">Replace earring backs (pair)</t>
  </si>
  <si>
    <t xml:space="preserve">per pair</t>
  </si>
  <si>
    <t xml:space="preserve">Back style</t>
  </si>
  <si>
    <t xml:space="preserve">ER-05</t>
  </si>
  <si>
    <t xml:space="preserve">Convert pierced to clip (pair)</t>
  </si>
  <si>
    <t xml:space="preserve">Clip style</t>
  </si>
  <si>
    <t xml:space="preserve">ER-06</t>
  </si>
  <si>
    <t xml:space="preserve">Replace pendant bail</t>
  </si>
  <si>
    <t xml:space="preserve">Bail size</t>
  </si>
  <si>
    <t xml:space="preserve">RF-01</t>
  </si>
  <si>
    <t xml:space="preserve">Refinish &amp; plating</t>
  </si>
  <si>
    <t xml:space="preserve">Clean and polish ring</t>
  </si>
  <si>
    <t xml:space="preserve">Finish type, depth of scratches</t>
  </si>
  <si>
    <t xml:space="preserve">Photo before, under standard light. Record metal color, existing plating, deep scratches or dents, stones that cannot go in ultrasonic.</t>
  </si>
  <si>
    <t xml:space="preserve">S2,S3,S5</t>
  </si>
  <si>
    <t xml:space="preserve">RF-02</t>
  </si>
  <si>
    <t xml:space="preserve">Rhodium plate white gold (incl. refinish)</t>
  </si>
  <si>
    <t xml:space="preserve">Item size</t>
  </si>
  <si>
    <t xml:space="preserve">S1,S3</t>
  </si>
  <si>
    <t xml:space="preserve">RF-03</t>
  </si>
  <si>
    <t xml:space="preserve">Refinish yellow / rose gold</t>
  </si>
  <si>
    <t xml:space="preserve">RF-04</t>
  </si>
  <si>
    <t xml:space="preserve">Gold plate (incl. refinish)</t>
  </si>
  <si>
    <t xml:space="preserve">Item size, karat color</t>
  </si>
  <si>
    <t xml:space="preserve">RF-05</t>
  </si>
  <si>
    <t xml:space="preserve">Ultrasonic / steam clean and inspect</t>
  </si>
  <si>
    <t xml:space="preserve">Stone safety (no ultrasonic for emerald, opal, pearl)</t>
  </si>
  <si>
    <t xml:space="preserve">RF-06</t>
  </si>
  <si>
    <t xml:space="preserve">Restore matte / satin / brushed finish</t>
  </si>
  <si>
    <t xml:space="preserve">Finish type</t>
  </si>
  <si>
    <t xml:space="preserve">PL-01</t>
  </si>
  <si>
    <t xml:space="preserve">Pearls &amp; beads</t>
  </si>
  <si>
    <t xml:space="preserve">Restring pearls, knotted</t>
  </si>
  <si>
    <t xml:space="preserve">per inch</t>
  </si>
  <si>
    <t xml:space="preserve">Length, clasp reuse</t>
  </si>
  <si>
    <t xml:space="preserve">Photo full strand and clasp. Record length (inches), pearl count, knots yes / no, clasp condition.</t>
  </si>
  <si>
    <t xml:space="preserve">PL-02</t>
  </si>
  <si>
    <t xml:space="preserve">Restring, no knots ($10 min)</t>
  </si>
  <si>
    <t xml:space="preserve">PL-03</t>
  </si>
  <si>
    <t xml:space="preserve">Re-glue pearl on post / cup</t>
  </si>
  <si>
    <t xml:space="preserve">per pearl</t>
  </si>
  <si>
    <t xml:space="preserve">Cup condition</t>
  </si>
  <si>
    <t xml:space="preserve">MS-01</t>
  </si>
  <si>
    <t xml:space="preserve">Misc</t>
  </si>
  <si>
    <t xml:space="preserve">Engrave inside ring (machine)</t>
  </si>
  <si>
    <t xml:space="preserve">Characters, font</t>
  </si>
  <si>
    <t xml:space="preserve">Record customer text exactly (engraving), item description, and photos for the file.</t>
  </si>
  <si>
    <t xml:space="preserve">MS-02</t>
  </si>
  <si>
    <t xml:space="preserve">Jewelry appraisal</t>
  </si>
  <si>
    <t xml:space="preserve">Item complexity, stones</t>
  </si>
  <si>
    <t xml:space="preserve">Notes</t>
  </si>
  <si>
    <t xml:space="preserve">Blank turnaround = not applicable (done at counter, or not sent out). Rush fee is on the Assumptions tab.</t>
  </si>
  <si>
    <t xml:space="preserve">Stone-setting prices are labor only; stone cost billed separately. Fancy shapes +15%, bezel +20% (Assumptions).</t>
  </si>
  <si>
    <t xml:space="preserve">White gold items usually need re-rhodium after bench work: add the white gold fee (Assumptions).</t>
  </si>
  <si>
    <t xml:space="preserve">Platinum multiplier for class P (2.00x) is a judgment call between sources; validate with chain price books.</t>
  </si>
  <si>
    <t xml:space="preserve">Pearl restringing priced per inch (2 decimals).</t>
  </si>
  <si>
    <t xml:space="preserve">Repair Estimator (test harness for engine logic)</t>
  </si>
  <si>
    <t xml:space="preserve">Edit the yellow cells. Everything else is calculated from the Service Catalog and Assumptions.</t>
  </si>
  <si>
    <t xml:space="preserve">Service code</t>
  </si>
  <si>
    <t xml:space="preserve">Metal</t>
  </si>
  <si>
    <t xml:space="preserve">Additional units (extra prongs, stones, sizes)</t>
  </si>
  <si>
    <t xml:space="preserve">White gold item?</t>
  </si>
  <si>
    <t xml:space="preserve">Rush?</t>
  </si>
  <si>
    <t xml:space="preserve">Result</t>
  </si>
  <si>
    <t xml:space="preserve">Metal multiplier</t>
  </si>
  <si>
    <t xml:space="preserve">Add-ons (add'l units + white gold + rush)</t>
  </si>
  <si>
    <t xml:space="preserve">Estimate: low</t>
  </si>
  <si>
    <t xml:space="preserve">Estimate: typical</t>
  </si>
  <si>
    <t xml:space="preserve">Estimate: high</t>
  </si>
  <si>
    <t xml:space="preserve">Turnaround in-house</t>
  </si>
  <si>
    <t xml:space="preserve">Turnaround sent out</t>
  </si>
  <si>
    <t xml:space="preserve">Intake checklist</t>
  </si>
  <si>
    <t xml:space="preserve">Example: platinum solitaire with 4 worn prongs = PR-01 (first prong) + 3 additional units.</t>
  </si>
  <si>
    <t xml:space="preserve">Source</t>
  </si>
  <si>
    <t xml:space="preserve">Used for</t>
  </si>
  <si>
    <t xml:space="preserve">URL</t>
  </si>
  <si>
    <t xml:space="preserve">Expert Jewelry Repair &amp; Design, repair price list (Appleton, WI)</t>
  </si>
  <si>
    <t xml:space="preserve">Most complete line-item list; 18K +20%, platinum 3x, head and setting tables by carat</t>
  </si>
  <si>
    <t xml:space="preserve">https://www.jewelercam.com/repair-price-list/</t>
  </si>
  <si>
    <t xml:space="preserve">S2</t>
  </si>
  <si>
    <t xml:space="preserve">My Jewelry Repair, pricing page</t>
  </si>
  <si>
    <t xml:space="preserve">Ring repair, sizing, shank, stone, engraving prices</t>
  </si>
  <si>
    <t xml:space="preserve">https://myjewelryrepair.com/pricing/</t>
  </si>
  <si>
    <t xml:space="preserve">S3</t>
  </si>
  <si>
    <t xml:space="preserve">Quick Jewelry Repairs, pricing (updated July 2020)</t>
  </si>
  <si>
    <t xml:space="preserve">Low-end benchmarks: sizing, chain, prongs, plating, appraisal</t>
  </si>
  <si>
    <t xml:space="preserve">https://quickjewelryrepairs.com/pricing/</t>
  </si>
  <si>
    <t xml:space="preserve">Robinson's Jewelers, Common jewelry repairs and costs in 2025</t>
  </si>
  <si>
    <t xml:space="preserve">Ranges for sizing, prongs, chains, shanks, earrings, cleaning</t>
  </si>
  <si>
    <t xml:space="preserve">https://robinsonsjewelers.com/blogs/news/common-jewelry-repairs-how-much-they-cost-in-2025-your-guide-to-a-sparkling-comeback</t>
  </si>
  <si>
    <t xml:space="preserve">S5</t>
  </si>
  <si>
    <t xml:space="preserve">MoissaniteCo, jewelry repair price list</t>
  </si>
  <si>
    <t xml:space="preserve">Gold vs platinum differentials (polish, tightening, solder)</t>
  </si>
  <si>
    <t xml:space="preserve">https://www.moissaniteco.com/jewelry-repair-side-stone-price-list</t>
  </si>
  <si>
    <t xml:space="preserve">SVS Fine Jewelry, in-house repair (Long Island)</t>
  </si>
  <si>
    <t xml:space="preserve">In-house same-day services; stone sourcing up to 4 weeks</t>
  </si>
  <si>
    <t xml:space="preserve">https://www.svsfinejewelry.com/pages/jewelry-repair</t>
  </si>
  <si>
    <t xml:space="preserve">S7</t>
  </si>
  <si>
    <t xml:space="preserve">Stonebridge Jewelry, fine jewelry repair turnaround guide</t>
  </si>
  <si>
    <t xml:space="preserve">Turnaround by repair type; mail-in 2 to 8 weeks</t>
  </si>
  <si>
    <t xml:space="preserve">https://stonebridgejewelry.com/blog/fine-jewelry-repair-turnaround-time-guide</t>
  </si>
  <si>
    <t xml:space="preserve">S8</t>
  </si>
  <si>
    <t xml:space="preserve">Kay Jewelers mail-in repair FAQ</t>
  </si>
  <si>
    <t xml:space="preserve">Chain mail-in benchmark: most simple repairs within 10 days</t>
  </si>
  <si>
    <t xml:space="preserve">https://jewelryrepairdirect.com/pages/faq</t>
  </si>
  <si>
    <t xml:space="preserve">S9</t>
  </si>
  <si>
    <t xml:space="preserve">InStore: How David Geller figures repair pricing</t>
  </si>
  <si>
    <t xml:space="preserve">Method: per-task labor plus materials ~3x cost; metal tied to spot</t>
  </si>
  <si>
    <t xml:space="preserve">https://instoremag.com/here-s-how-shop-expert-david-geller-figures-repair-pricing/</t>
  </si>
  <si>
    <t xml:space="preserve">Ref</t>
  </si>
  <si>
    <t xml:space="preserve">Geller's Blue Book to Jewelry Repair &amp; Design (paid guide, not reproduced)</t>
  </si>
  <si>
    <t xml:space="preserve">Industry-standard reference; buy a license to calibrate</t>
  </si>
  <si>
    <t xml:space="preserve">https://www.jewelerprofit.com/Blue_Book.html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</si>
</sst>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\x"/>
    <numFmt numFmtId="166" formatCode="\$#,##0"/>
    <numFmt numFmtId="167" formatCode="0%"/>
    <numFmt numFmtId="168" formatCode="0"/>
    <numFmt numFmtId="169" formatCode="\$#,##0;&quot;($&quot;#,##0\);\-"/>
    <numFmt numFmtId="170" formatCode="0;0;0"/>
    <numFmt numFmtId="171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563C1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jewelercam.com/repair-price-list/" TargetMode="External"/><Relationship Id="rId2" Type="http://schemas.openxmlformats.org/officeDocument/2006/relationships/hyperlink" Target="https://myjewelryrepair.com/pricing/" TargetMode="External"/><Relationship Id="rId3" Type="http://schemas.openxmlformats.org/officeDocument/2006/relationships/hyperlink" Target="https://quickjewelryrepairs.com/pricing/" TargetMode="External"/><Relationship Id="rId4" Type="http://schemas.openxmlformats.org/officeDocument/2006/relationships/hyperlink" Target="https://robinsonsjewelers.com/blogs/news/common-jewelry-repairs-how-much-they-cost-in-2025-your-guide-to-a-sparkling-comeback" TargetMode="External"/><Relationship Id="rId5" Type="http://schemas.openxmlformats.org/officeDocument/2006/relationships/hyperlink" Target="https://www.moissaniteco.com/jewelry-repair-side-stone-price-list" TargetMode="External"/><Relationship Id="rId6" Type="http://schemas.openxmlformats.org/officeDocument/2006/relationships/hyperlink" Target="https://www.svsfinejewelry.com/pages/jewelry-repair" TargetMode="External"/><Relationship Id="rId7" Type="http://schemas.openxmlformats.org/officeDocument/2006/relationships/hyperlink" Target="https://stonebridgejewelry.com/blog/fine-jewelry-repair-turnaround-time-guide" TargetMode="External"/><Relationship Id="rId8" Type="http://schemas.openxmlformats.org/officeDocument/2006/relationships/hyperlink" Target="https://jewelryrepairdirect.com/pages/faq" TargetMode="External"/><Relationship Id="rId9" Type="http://schemas.openxmlformats.org/officeDocument/2006/relationships/hyperlink" Target="https://instoremag.com/here-s-how-shop-expert-david-geller-figures-repair-pricing/" TargetMode="External"/><Relationship Id="rId10" Type="http://schemas.openxmlformats.org/officeDocument/2006/relationships/hyperlink" Target="https://www.jewelerprofit.com/Blue_Book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6.8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26.85" hidden="false" customHeight="false" outlineLevel="0" collapsed="false">
      <c r="A8" s="3" t="s">
        <v>5</v>
      </c>
    </row>
    <row r="9" customFormat="false" ht="26.85" hidden="false" customHeight="false" outlineLevel="0" collapsed="false">
      <c r="A9" s="3" t="s">
        <v>6</v>
      </c>
    </row>
    <row r="10" customFormat="false" ht="39.55" hidden="false" customHeight="false" outlineLevel="0" collapsed="false">
      <c r="A10" s="3" t="s">
        <v>7</v>
      </c>
    </row>
    <row r="11" customFormat="false" ht="26.8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14</v>
      </c>
    </row>
    <row r="20" customFormat="false" ht="26.8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4" t="s">
        <v>16</v>
      </c>
    </row>
    <row r="23" customFormat="false" ht="39.55" hidden="false" customHeight="false" outlineLevel="0" collapsed="false">
      <c r="A23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58"/>
    <col collapsed="false" customWidth="true" hidden="false" outlineLevel="0" max="5" min="3" style="0" width="10"/>
    <col collapsed="false" customWidth="true" hidden="false" outlineLevel="0" max="6" min="6" style="0" width="80"/>
  </cols>
  <sheetData>
    <row r="1" customFormat="false" ht="16.15" hidden="false" customHeight="false" outlineLevel="0" collapsed="false">
      <c r="A1" s="5" t="s">
        <v>18</v>
      </c>
    </row>
    <row r="2" customFormat="false" ht="15" hidden="false" customHeight="false" outlineLevel="0" collapsed="false">
      <c r="A2" s="6" t="s">
        <v>19</v>
      </c>
    </row>
    <row r="4" customFormat="false" ht="15" hidden="false" customHeight="false" outlineLevel="0" collapsed="false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</row>
    <row r="5" customFormat="false" ht="26.85" hidden="false" customHeight="false" outlineLevel="0" collapsed="false">
      <c r="A5" s="8" t="s">
        <v>26</v>
      </c>
      <c r="B5" s="8" t="s">
        <v>27</v>
      </c>
      <c r="C5" s="9" t="n">
        <v>1</v>
      </c>
      <c r="D5" s="10" t="n">
        <v>1</v>
      </c>
      <c r="E5" s="10" t="n">
        <v>1.2</v>
      </c>
      <c r="F5" s="8" t="s">
        <v>28</v>
      </c>
    </row>
    <row r="6" customFormat="false" ht="26.85" hidden="false" customHeight="false" outlineLevel="0" collapsed="false">
      <c r="A6" s="8" t="s">
        <v>29</v>
      </c>
      <c r="B6" s="8" t="s">
        <v>30</v>
      </c>
      <c r="C6" s="9" t="n">
        <v>1</v>
      </c>
      <c r="D6" s="10" t="n">
        <v>1.15</v>
      </c>
      <c r="E6" s="10" t="n">
        <v>2</v>
      </c>
      <c r="F6" s="8" t="s">
        <v>31</v>
      </c>
    </row>
    <row r="7" customFormat="false" ht="26.85" hidden="false" customHeight="false" outlineLevel="0" collapsed="false">
      <c r="A7" s="8" t="s">
        <v>32</v>
      </c>
      <c r="B7" s="8" t="s">
        <v>33</v>
      </c>
      <c r="C7" s="9" t="n">
        <v>1</v>
      </c>
      <c r="D7" s="10" t="n">
        <v>1.2</v>
      </c>
      <c r="E7" s="10" t="n">
        <v>3</v>
      </c>
      <c r="F7" s="8" t="s">
        <v>34</v>
      </c>
    </row>
    <row r="9" customFormat="false" ht="15" hidden="false" customHeight="false" outlineLevel="0" collapsed="false">
      <c r="A9" s="11" t="s">
        <v>35</v>
      </c>
    </row>
    <row r="10" customFormat="false" ht="15" hidden="false" customHeight="false" outlineLevel="0" collapsed="false">
      <c r="A10" s="12" t="s">
        <v>36</v>
      </c>
      <c r="C10" s="13" t="n">
        <v>10</v>
      </c>
      <c r="F10" s="12" t="s">
        <v>37</v>
      </c>
    </row>
    <row r="11" customFormat="false" ht="15" hidden="false" customHeight="false" outlineLevel="0" collapsed="false">
      <c r="A11" s="12" t="s">
        <v>38</v>
      </c>
      <c r="C11" s="13" t="n">
        <v>50</v>
      </c>
      <c r="F11" s="12" t="s">
        <v>39</v>
      </c>
    </row>
    <row r="12" customFormat="false" ht="15" hidden="false" customHeight="false" outlineLevel="0" collapsed="false">
      <c r="A12" s="12" t="s">
        <v>40</v>
      </c>
      <c r="C12" s="14" t="n">
        <v>0.15</v>
      </c>
      <c r="F12" s="12" t="s">
        <v>41</v>
      </c>
    </row>
    <row r="13" customFormat="false" ht="15" hidden="false" customHeight="false" outlineLevel="0" collapsed="false">
      <c r="A13" s="12" t="s">
        <v>42</v>
      </c>
      <c r="C13" s="14" t="n">
        <v>0.2</v>
      </c>
      <c r="F13" s="12" t="s">
        <v>43</v>
      </c>
    </row>
    <row r="14" customFormat="false" ht="15" hidden="false" customHeight="false" outlineLevel="0" collapsed="false">
      <c r="A14" s="12" t="s">
        <v>44</v>
      </c>
      <c r="C14" s="15" t="n">
        <v>20</v>
      </c>
      <c r="F14" s="1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7"/>
    <col collapsed="false" customWidth="true" hidden="false" outlineLevel="0" max="15" min="7" style="0" width="9"/>
    <col collapsed="false" customWidth="true" hidden="false" outlineLevel="0" max="16" min="16" style="0" width="11"/>
    <col collapsed="false" customWidth="true" hidden="false" outlineLevel="0" max="20" min="17" style="0" width="7"/>
    <col collapsed="false" customWidth="true" hidden="false" outlineLevel="0" max="21" min="21" style="0" width="10"/>
    <col collapsed="false" customWidth="true" hidden="false" outlineLevel="0" max="22" min="22" style="0" width="70"/>
    <col collapsed="false" customWidth="true" hidden="false" outlineLevel="0" max="23" min="23" style="0" width="16"/>
  </cols>
  <sheetData>
    <row r="1" customFormat="false" ht="16.15" hidden="false" customHeight="false" outlineLevel="0" collapsed="false">
      <c r="A1" s="5" t="s">
        <v>46</v>
      </c>
    </row>
    <row r="2" customFormat="false" ht="15" hidden="false" customHeight="false" outlineLevel="0" collapsed="false">
      <c r="A2" s="6" t="s">
        <v>47</v>
      </c>
    </row>
    <row r="3" customFormat="false" ht="15" hidden="false" customHeight="false" outlineLevel="0" collapsed="false">
      <c r="A3" s="16" t="s">
        <v>48</v>
      </c>
      <c r="B3" s="16"/>
      <c r="C3" s="16"/>
      <c r="D3" s="16"/>
      <c r="E3" s="16"/>
      <c r="F3" s="16"/>
      <c r="G3" s="16" t="s">
        <v>49</v>
      </c>
      <c r="H3" s="16"/>
      <c r="I3" s="16"/>
      <c r="J3" s="16" t="s">
        <v>50</v>
      </c>
      <c r="K3" s="16"/>
      <c r="L3" s="16"/>
      <c r="M3" s="16" t="s">
        <v>51</v>
      </c>
      <c r="N3" s="16"/>
      <c r="O3" s="16"/>
      <c r="P3" s="16" t="s">
        <v>52</v>
      </c>
      <c r="Q3" s="16" t="s">
        <v>53</v>
      </c>
      <c r="R3" s="16"/>
      <c r="S3" s="16" t="s">
        <v>54</v>
      </c>
      <c r="T3" s="16"/>
      <c r="U3" s="16" t="s">
        <v>55</v>
      </c>
      <c r="V3" s="16"/>
      <c r="W3" s="16"/>
    </row>
    <row r="4" customFormat="false" ht="31.5" hidden="false" customHeight="true" outlineLevel="0" collapsed="false">
      <c r="A4" s="17" t="s">
        <v>56</v>
      </c>
      <c r="B4" s="17" t="s">
        <v>57</v>
      </c>
      <c r="C4" s="17" t="s">
        <v>48</v>
      </c>
      <c r="D4" s="17" t="s">
        <v>58</v>
      </c>
      <c r="E4" s="17" t="s">
        <v>59</v>
      </c>
      <c r="F4" s="17" t="s">
        <v>60</v>
      </c>
      <c r="G4" s="17" t="s">
        <v>61</v>
      </c>
      <c r="H4" s="17" t="s">
        <v>62</v>
      </c>
      <c r="I4" s="17" t="s">
        <v>63</v>
      </c>
      <c r="J4" s="17" t="s">
        <v>61</v>
      </c>
      <c r="K4" s="17" t="s">
        <v>62</v>
      </c>
      <c r="L4" s="17" t="s">
        <v>63</v>
      </c>
      <c r="M4" s="17" t="s">
        <v>61</v>
      </c>
      <c r="N4" s="17" t="s">
        <v>62</v>
      </c>
      <c r="O4" s="17" t="s">
        <v>63</v>
      </c>
      <c r="P4" s="17" t="s">
        <v>64</v>
      </c>
      <c r="Q4" s="17" t="s">
        <v>65</v>
      </c>
      <c r="R4" s="17" t="s">
        <v>66</v>
      </c>
      <c r="S4" s="17" t="s">
        <v>65</v>
      </c>
      <c r="T4" s="17" t="s">
        <v>66</v>
      </c>
      <c r="U4" s="17" t="s">
        <v>67</v>
      </c>
      <c r="V4" s="17" t="s">
        <v>68</v>
      </c>
      <c r="W4" s="17" t="s">
        <v>69</v>
      </c>
    </row>
    <row r="5" customFormat="false" ht="39.55" hidden="false" customHeight="false" outlineLevel="0" collapsed="false">
      <c r="A5" s="18" t="s">
        <v>70</v>
      </c>
      <c r="B5" s="18" t="s">
        <v>71</v>
      </c>
      <c r="C5" s="18" t="s">
        <v>72</v>
      </c>
      <c r="D5" s="18" t="s">
        <v>73</v>
      </c>
      <c r="E5" s="8" t="s">
        <v>74</v>
      </c>
      <c r="F5" s="19" t="s">
        <v>32</v>
      </c>
      <c r="G5" s="20" t="n">
        <v>40</v>
      </c>
      <c r="H5" s="20" t="n">
        <v>60</v>
      </c>
      <c r="I5" s="20" t="n">
        <v>90</v>
      </c>
      <c r="J5" s="21" t="n">
        <f aca="false">G5*INDEX(Assumptions!$D$5:$D$7,MATCH($F5,Assumptions!$A$5:$A$7,0))</f>
        <v>48</v>
      </c>
      <c r="K5" s="21" t="n">
        <f aca="false">H5*INDEX(Assumptions!$D$5:$D$7,MATCH($F5,Assumptions!$A$5:$A$7,0))</f>
        <v>72</v>
      </c>
      <c r="L5" s="21" t="n">
        <f aca="false">I5*INDEX(Assumptions!$D$5:$D$7,MATCH($F5,Assumptions!$A$5:$A$7,0))</f>
        <v>108</v>
      </c>
      <c r="M5" s="21" t="n">
        <f aca="false">G5*INDEX(Assumptions!$E$5:$E$7,MATCH($F5,Assumptions!$A$5:$A$7,0))</f>
        <v>120</v>
      </c>
      <c r="N5" s="21" t="n">
        <f aca="false">H5*INDEX(Assumptions!$E$5:$E$7,MATCH($F5,Assumptions!$A$5:$A$7,0))</f>
        <v>180</v>
      </c>
      <c r="O5" s="21" t="n">
        <f aca="false">I5*INDEX(Assumptions!$E$5:$E$7,MATCH($F5,Assumptions!$A$5:$A$7,0))</f>
        <v>270</v>
      </c>
      <c r="P5" s="20"/>
      <c r="Q5" s="22" t="n">
        <v>0</v>
      </c>
      <c r="R5" s="22" t="n">
        <v>3</v>
      </c>
      <c r="S5" s="22" t="n">
        <v>5</v>
      </c>
      <c r="T5" s="22" t="n">
        <v>10</v>
      </c>
      <c r="U5" s="19" t="s">
        <v>75</v>
      </c>
      <c r="V5" s="8" t="s">
        <v>76</v>
      </c>
      <c r="W5" s="18" t="s">
        <v>77</v>
      </c>
    </row>
    <row r="6" customFormat="false" ht="39.55" hidden="false" customHeight="false" outlineLevel="0" collapsed="false">
      <c r="A6" s="18" t="s">
        <v>78</v>
      </c>
      <c r="B6" s="18" t="s">
        <v>71</v>
      </c>
      <c r="C6" s="18" t="s">
        <v>79</v>
      </c>
      <c r="D6" s="18" t="s">
        <v>73</v>
      </c>
      <c r="E6" s="8" t="s">
        <v>80</v>
      </c>
      <c r="F6" s="19" t="s">
        <v>32</v>
      </c>
      <c r="G6" s="20" t="n">
        <v>50</v>
      </c>
      <c r="H6" s="20" t="n">
        <v>70</v>
      </c>
      <c r="I6" s="20" t="n">
        <v>110</v>
      </c>
      <c r="J6" s="21" t="n">
        <f aca="false">G6*INDEX(Assumptions!$D$5:$D$7,MATCH($F6,Assumptions!$A$5:$A$7,0))</f>
        <v>60</v>
      </c>
      <c r="K6" s="21" t="n">
        <f aca="false">H6*INDEX(Assumptions!$D$5:$D$7,MATCH($F6,Assumptions!$A$5:$A$7,0))</f>
        <v>84</v>
      </c>
      <c r="L6" s="21" t="n">
        <f aca="false">I6*INDEX(Assumptions!$D$5:$D$7,MATCH($F6,Assumptions!$A$5:$A$7,0))</f>
        <v>132</v>
      </c>
      <c r="M6" s="21" t="n">
        <f aca="false">G6*INDEX(Assumptions!$E$5:$E$7,MATCH($F6,Assumptions!$A$5:$A$7,0))</f>
        <v>150</v>
      </c>
      <c r="N6" s="21" t="n">
        <f aca="false">H6*INDEX(Assumptions!$E$5:$E$7,MATCH($F6,Assumptions!$A$5:$A$7,0))</f>
        <v>210</v>
      </c>
      <c r="O6" s="21" t="n">
        <f aca="false">I6*INDEX(Assumptions!$E$5:$E$7,MATCH($F6,Assumptions!$A$5:$A$7,0))</f>
        <v>330</v>
      </c>
      <c r="P6" s="20" t="n">
        <v>15</v>
      </c>
      <c r="Q6" s="22" t="n">
        <v>0</v>
      </c>
      <c r="R6" s="22" t="n">
        <v>3</v>
      </c>
      <c r="S6" s="22" t="n">
        <v>5</v>
      </c>
      <c r="T6" s="22" t="n">
        <v>10</v>
      </c>
      <c r="U6" s="19" t="s">
        <v>75</v>
      </c>
      <c r="V6" s="8" t="s">
        <v>76</v>
      </c>
      <c r="W6" s="18" t="s">
        <v>81</v>
      </c>
    </row>
    <row r="7" customFormat="false" ht="39.55" hidden="false" customHeight="false" outlineLevel="0" collapsed="false">
      <c r="A7" s="18" t="s">
        <v>82</v>
      </c>
      <c r="B7" s="18" t="s">
        <v>71</v>
      </c>
      <c r="C7" s="18" t="s">
        <v>83</v>
      </c>
      <c r="D7" s="18" t="s">
        <v>73</v>
      </c>
      <c r="E7" s="8" t="s">
        <v>84</v>
      </c>
      <c r="F7" s="19" t="s">
        <v>32</v>
      </c>
      <c r="G7" s="20" t="n">
        <v>55</v>
      </c>
      <c r="H7" s="20" t="n">
        <v>70</v>
      </c>
      <c r="I7" s="20" t="n">
        <v>120</v>
      </c>
      <c r="J7" s="21" t="n">
        <f aca="false">G7*INDEX(Assumptions!$D$5:$D$7,MATCH($F7,Assumptions!$A$5:$A$7,0))</f>
        <v>66</v>
      </c>
      <c r="K7" s="21" t="n">
        <f aca="false">H7*INDEX(Assumptions!$D$5:$D$7,MATCH($F7,Assumptions!$A$5:$A$7,0))</f>
        <v>84</v>
      </c>
      <c r="L7" s="21" t="n">
        <f aca="false">I7*INDEX(Assumptions!$D$5:$D$7,MATCH($F7,Assumptions!$A$5:$A$7,0))</f>
        <v>144</v>
      </c>
      <c r="M7" s="21" t="n">
        <f aca="false">G7*INDEX(Assumptions!$E$5:$E$7,MATCH($F7,Assumptions!$A$5:$A$7,0))</f>
        <v>165</v>
      </c>
      <c r="N7" s="21" t="n">
        <f aca="false">H7*INDEX(Assumptions!$E$5:$E$7,MATCH($F7,Assumptions!$A$5:$A$7,0))</f>
        <v>210</v>
      </c>
      <c r="O7" s="21" t="n">
        <f aca="false">I7*INDEX(Assumptions!$E$5:$E$7,MATCH($F7,Assumptions!$A$5:$A$7,0))</f>
        <v>360</v>
      </c>
      <c r="P7" s="20"/>
      <c r="Q7" s="22" t="n">
        <v>1</v>
      </c>
      <c r="R7" s="22" t="n">
        <v>3</v>
      </c>
      <c r="S7" s="22" t="n">
        <v>5</v>
      </c>
      <c r="T7" s="22" t="n">
        <v>10</v>
      </c>
      <c r="U7" s="19" t="s">
        <v>75</v>
      </c>
      <c r="V7" s="8" t="s">
        <v>76</v>
      </c>
      <c r="W7" s="18" t="s">
        <v>85</v>
      </c>
    </row>
    <row r="8" customFormat="false" ht="39.55" hidden="false" customHeight="false" outlineLevel="0" collapsed="false">
      <c r="A8" s="18" t="s">
        <v>86</v>
      </c>
      <c r="B8" s="18" t="s">
        <v>71</v>
      </c>
      <c r="C8" s="18" t="s">
        <v>87</v>
      </c>
      <c r="D8" s="18" t="s">
        <v>73</v>
      </c>
      <c r="E8" s="8" t="s">
        <v>80</v>
      </c>
      <c r="F8" s="19" t="s">
        <v>32</v>
      </c>
      <c r="G8" s="20" t="n">
        <v>70</v>
      </c>
      <c r="H8" s="20" t="n">
        <v>90</v>
      </c>
      <c r="I8" s="20" t="n">
        <v>150</v>
      </c>
      <c r="J8" s="21" t="n">
        <f aca="false">G8*INDEX(Assumptions!$D$5:$D$7,MATCH($F8,Assumptions!$A$5:$A$7,0))</f>
        <v>84</v>
      </c>
      <c r="K8" s="21" t="n">
        <f aca="false">H8*INDEX(Assumptions!$D$5:$D$7,MATCH($F8,Assumptions!$A$5:$A$7,0))</f>
        <v>108</v>
      </c>
      <c r="L8" s="21" t="n">
        <f aca="false">I8*INDEX(Assumptions!$D$5:$D$7,MATCH($F8,Assumptions!$A$5:$A$7,0))</f>
        <v>180</v>
      </c>
      <c r="M8" s="21" t="n">
        <f aca="false">G8*INDEX(Assumptions!$E$5:$E$7,MATCH($F8,Assumptions!$A$5:$A$7,0))</f>
        <v>210</v>
      </c>
      <c r="N8" s="21" t="n">
        <f aca="false">H8*INDEX(Assumptions!$E$5:$E$7,MATCH($F8,Assumptions!$A$5:$A$7,0))</f>
        <v>270</v>
      </c>
      <c r="O8" s="21" t="n">
        <f aca="false">I8*INDEX(Assumptions!$E$5:$E$7,MATCH($F8,Assumptions!$A$5:$A$7,0))</f>
        <v>450</v>
      </c>
      <c r="P8" s="20" t="n">
        <v>20</v>
      </c>
      <c r="Q8" s="22" t="n">
        <v>1</v>
      </c>
      <c r="R8" s="22" t="n">
        <v>5</v>
      </c>
      <c r="S8" s="22" t="n">
        <v>7</v>
      </c>
      <c r="T8" s="22" t="n">
        <v>10</v>
      </c>
      <c r="U8" s="19" t="s">
        <v>88</v>
      </c>
      <c r="V8" s="8" t="s">
        <v>76</v>
      </c>
      <c r="W8" s="18" t="s">
        <v>85</v>
      </c>
    </row>
    <row r="9" customFormat="false" ht="39.55" hidden="false" customHeight="false" outlineLevel="0" collapsed="false">
      <c r="A9" s="18" t="s">
        <v>89</v>
      </c>
      <c r="B9" s="18" t="s">
        <v>71</v>
      </c>
      <c r="C9" s="18" t="s">
        <v>90</v>
      </c>
      <c r="D9" s="18" t="s">
        <v>73</v>
      </c>
      <c r="E9" s="8" t="s">
        <v>91</v>
      </c>
      <c r="F9" s="19" t="s">
        <v>32</v>
      </c>
      <c r="G9" s="20" t="n">
        <v>120</v>
      </c>
      <c r="H9" s="20" t="n">
        <v>175</v>
      </c>
      <c r="I9" s="20" t="n">
        <v>400</v>
      </c>
      <c r="J9" s="21" t="n">
        <f aca="false">G9*INDEX(Assumptions!$D$5:$D$7,MATCH($F9,Assumptions!$A$5:$A$7,0))</f>
        <v>144</v>
      </c>
      <c r="K9" s="21" t="n">
        <f aca="false">H9*INDEX(Assumptions!$D$5:$D$7,MATCH($F9,Assumptions!$A$5:$A$7,0))</f>
        <v>210</v>
      </c>
      <c r="L9" s="21" t="n">
        <f aca="false">I9*INDEX(Assumptions!$D$5:$D$7,MATCH($F9,Assumptions!$A$5:$A$7,0))</f>
        <v>480</v>
      </c>
      <c r="M9" s="21" t="n">
        <f aca="false">G9*INDEX(Assumptions!$E$5:$E$7,MATCH($F9,Assumptions!$A$5:$A$7,0))</f>
        <v>360</v>
      </c>
      <c r="N9" s="21" t="n">
        <f aca="false">H9*INDEX(Assumptions!$E$5:$E$7,MATCH($F9,Assumptions!$A$5:$A$7,0))</f>
        <v>525</v>
      </c>
      <c r="O9" s="21" t="n">
        <f aca="false">I9*INDEX(Assumptions!$E$5:$E$7,MATCH($F9,Assumptions!$A$5:$A$7,0))</f>
        <v>1200</v>
      </c>
      <c r="P9" s="20"/>
      <c r="Q9" s="22" t="n">
        <v>3</v>
      </c>
      <c r="R9" s="22" t="n">
        <v>7</v>
      </c>
      <c r="S9" s="22" t="n">
        <v>10</v>
      </c>
      <c r="T9" s="22" t="n">
        <v>15</v>
      </c>
      <c r="U9" s="19" t="s">
        <v>88</v>
      </c>
      <c r="V9" s="8" t="s">
        <v>76</v>
      </c>
      <c r="W9" s="18" t="s">
        <v>92</v>
      </c>
    </row>
    <row r="10" customFormat="false" ht="39.55" hidden="false" customHeight="false" outlineLevel="0" collapsed="false">
      <c r="A10" s="18" t="s">
        <v>93</v>
      </c>
      <c r="B10" s="18" t="s">
        <v>71</v>
      </c>
      <c r="C10" s="18" t="s">
        <v>94</v>
      </c>
      <c r="D10" s="18" t="s">
        <v>73</v>
      </c>
      <c r="E10" s="8" t="s">
        <v>95</v>
      </c>
      <c r="F10" s="19" t="s">
        <v>29</v>
      </c>
      <c r="G10" s="20" t="n">
        <v>45</v>
      </c>
      <c r="H10" s="20" t="n">
        <v>80</v>
      </c>
      <c r="I10" s="20" t="n">
        <v>150</v>
      </c>
      <c r="J10" s="21" t="n">
        <f aca="false">G10*INDEX(Assumptions!$D$5:$D$7,MATCH($F10,Assumptions!$A$5:$A$7,0))</f>
        <v>51.75</v>
      </c>
      <c r="K10" s="21" t="n">
        <f aca="false">H10*INDEX(Assumptions!$D$5:$D$7,MATCH($F10,Assumptions!$A$5:$A$7,0))</f>
        <v>92</v>
      </c>
      <c r="L10" s="21" t="n">
        <f aca="false">I10*INDEX(Assumptions!$D$5:$D$7,MATCH($F10,Assumptions!$A$5:$A$7,0))</f>
        <v>172.5</v>
      </c>
      <c r="M10" s="21" t="n">
        <f aca="false">G10*INDEX(Assumptions!$E$5:$E$7,MATCH($F10,Assumptions!$A$5:$A$7,0))</f>
        <v>90</v>
      </c>
      <c r="N10" s="21" t="n">
        <f aca="false">H10*INDEX(Assumptions!$E$5:$E$7,MATCH($F10,Assumptions!$A$5:$A$7,0))</f>
        <v>160</v>
      </c>
      <c r="O10" s="21" t="n">
        <f aca="false">I10*INDEX(Assumptions!$E$5:$E$7,MATCH($F10,Assumptions!$A$5:$A$7,0))</f>
        <v>300</v>
      </c>
      <c r="P10" s="20"/>
      <c r="Q10" s="22" t="n">
        <v>0</v>
      </c>
      <c r="R10" s="22" t="n">
        <v>2</v>
      </c>
      <c r="S10" s="22" t="n">
        <v>5</v>
      </c>
      <c r="T10" s="22" t="n">
        <v>7</v>
      </c>
      <c r="U10" s="19" t="s">
        <v>75</v>
      </c>
      <c r="V10" s="8" t="s">
        <v>76</v>
      </c>
      <c r="W10" s="18" t="s">
        <v>96</v>
      </c>
    </row>
    <row r="11" customFormat="false" ht="39.55" hidden="false" customHeight="false" outlineLevel="0" collapsed="false">
      <c r="A11" s="18" t="s">
        <v>97</v>
      </c>
      <c r="B11" s="18" t="s">
        <v>71</v>
      </c>
      <c r="C11" s="18" t="s">
        <v>98</v>
      </c>
      <c r="D11" s="18" t="s">
        <v>73</v>
      </c>
      <c r="E11" s="8" t="s">
        <v>99</v>
      </c>
      <c r="F11" s="19" t="s">
        <v>32</v>
      </c>
      <c r="G11" s="20" t="n">
        <v>60</v>
      </c>
      <c r="H11" s="20" t="n">
        <v>90</v>
      </c>
      <c r="I11" s="20" t="n">
        <v>120</v>
      </c>
      <c r="J11" s="21" t="n">
        <f aca="false">G11*INDEX(Assumptions!$D$5:$D$7,MATCH($F11,Assumptions!$A$5:$A$7,0))</f>
        <v>72</v>
      </c>
      <c r="K11" s="21" t="n">
        <f aca="false">H11*INDEX(Assumptions!$D$5:$D$7,MATCH($F11,Assumptions!$A$5:$A$7,0))</f>
        <v>108</v>
      </c>
      <c r="L11" s="21" t="n">
        <f aca="false">I11*INDEX(Assumptions!$D$5:$D$7,MATCH($F11,Assumptions!$A$5:$A$7,0))</f>
        <v>144</v>
      </c>
      <c r="M11" s="21" t="n">
        <f aca="false">G11*INDEX(Assumptions!$E$5:$E$7,MATCH($F11,Assumptions!$A$5:$A$7,0))</f>
        <v>180</v>
      </c>
      <c r="N11" s="21" t="n">
        <f aca="false">H11*INDEX(Assumptions!$E$5:$E$7,MATCH($F11,Assumptions!$A$5:$A$7,0))</f>
        <v>270</v>
      </c>
      <c r="O11" s="21" t="n">
        <f aca="false">I11*INDEX(Assumptions!$E$5:$E$7,MATCH($F11,Assumptions!$A$5:$A$7,0))</f>
        <v>360</v>
      </c>
      <c r="P11" s="20"/>
      <c r="Q11" s="22" t="n">
        <v>1</v>
      </c>
      <c r="R11" s="22" t="n">
        <v>3</v>
      </c>
      <c r="S11" s="22" t="n">
        <v>5</v>
      </c>
      <c r="T11" s="22" t="n">
        <v>10</v>
      </c>
      <c r="U11" s="19" t="s">
        <v>88</v>
      </c>
      <c r="V11" s="8" t="s">
        <v>76</v>
      </c>
      <c r="W11" s="18" t="s">
        <v>100</v>
      </c>
    </row>
    <row r="12" customFormat="false" ht="39.55" hidden="false" customHeight="false" outlineLevel="0" collapsed="false">
      <c r="A12" s="18" t="s">
        <v>101</v>
      </c>
      <c r="B12" s="18" t="s">
        <v>71</v>
      </c>
      <c r="C12" s="18" t="s">
        <v>102</v>
      </c>
      <c r="D12" s="18" t="s">
        <v>73</v>
      </c>
      <c r="E12" s="8" t="s">
        <v>103</v>
      </c>
      <c r="F12" s="19" t="s">
        <v>26</v>
      </c>
      <c r="G12" s="20" t="n">
        <v>20</v>
      </c>
      <c r="H12" s="20" t="n">
        <v>30</v>
      </c>
      <c r="I12" s="20" t="n">
        <v>50</v>
      </c>
      <c r="J12" s="21" t="n">
        <f aca="false">G12*INDEX(Assumptions!$D$5:$D$7,MATCH($F12,Assumptions!$A$5:$A$7,0))</f>
        <v>20</v>
      </c>
      <c r="K12" s="21" t="n">
        <f aca="false">H12*INDEX(Assumptions!$D$5:$D$7,MATCH($F12,Assumptions!$A$5:$A$7,0))</f>
        <v>30</v>
      </c>
      <c r="L12" s="21" t="n">
        <f aca="false">I12*INDEX(Assumptions!$D$5:$D$7,MATCH($F12,Assumptions!$A$5:$A$7,0))</f>
        <v>50</v>
      </c>
      <c r="M12" s="21" t="n">
        <f aca="false">G12*INDEX(Assumptions!$E$5:$E$7,MATCH($F12,Assumptions!$A$5:$A$7,0))</f>
        <v>24</v>
      </c>
      <c r="N12" s="21" t="n">
        <f aca="false">H12*INDEX(Assumptions!$E$5:$E$7,MATCH($F12,Assumptions!$A$5:$A$7,0))</f>
        <v>36</v>
      </c>
      <c r="O12" s="21" t="n">
        <f aca="false">I12*INDEX(Assumptions!$E$5:$E$7,MATCH($F12,Assumptions!$A$5:$A$7,0))</f>
        <v>60</v>
      </c>
      <c r="P12" s="20"/>
      <c r="Q12" s="22" t="n">
        <v>0</v>
      </c>
      <c r="R12" s="22" t="n">
        <v>0</v>
      </c>
      <c r="S12" s="22"/>
      <c r="T12" s="22"/>
      <c r="U12" s="19" t="s">
        <v>75</v>
      </c>
      <c r="V12" s="8" t="s">
        <v>76</v>
      </c>
      <c r="W12" s="18" t="s">
        <v>104</v>
      </c>
    </row>
    <row r="13" customFormat="false" ht="26.85" hidden="false" customHeight="false" outlineLevel="0" collapsed="false">
      <c r="A13" s="18" t="s">
        <v>105</v>
      </c>
      <c r="B13" s="18" t="s">
        <v>106</v>
      </c>
      <c r="C13" s="18" t="s">
        <v>107</v>
      </c>
      <c r="D13" s="18" t="s">
        <v>73</v>
      </c>
      <c r="E13" s="8" t="s">
        <v>108</v>
      </c>
      <c r="F13" s="19" t="s">
        <v>32</v>
      </c>
      <c r="G13" s="20" t="n">
        <v>120</v>
      </c>
      <c r="H13" s="20" t="n">
        <v>150</v>
      </c>
      <c r="I13" s="20" t="n">
        <v>200</v>
      </c>
      <c r="J13" s="21" t="n">
        <f aca="false">G13*INDEX(Assumptions!$D$5:$D$7,MATCH($F13,Assumptions!$A$5:$A$7,0))</f>
        <v>144</v>
      </c>
      <c r="K13" s="21" t="n">
        <f aca="false">H13*INDEX(Assumptions!$D$5:$D$7,MATCH($F13,Assumptions!$A$5:$A$7,0))</f>
        <v>180</v>
      </c>
      <c r="L13" s="21" t="n">
        <f aca="false">I13*INDEX(Assumptions!$D$5:$D$7,MATCH($F13,Assumptions!$A$5:$A$7,0))</f>
        <v>240</v>
      </c>
      <c r="M13" s="21" t="n">
        <f aca="false">G13*INDEX(Assumptions!$E$5:$E$7,MATCH($F13,Assumptions!$A$5:$A$7,0))</f>
        <v>360</v>
      </c>
      <c r="N13" s="21" t="n">
        <f aca="false">H13*INDEX(Assumptions!$E$5:$E$7,MATCH($F13,Assumptions!$A$5:$A$7,0))</f>
        <v>450</v>
      </c>
      <c r="O13" s="21" t="n">
        <f aca="false">I13*INDEX(Assumptions!$E$5:$E$7,MATCH($F13,Assumptions!$A$5:$A$7,0))</f>
        <v>600</v>
      </c>
      <c r="P13" s="20"/>
      <c r="Q13" s="22" t="n">
        <v>2</v>
      </c>
      <c r="R13" s="22" t="n">
        <v>5</v>
      </c>
      <c r="S13" s="22" t="n">
        <v>7</v>
      </c>
      <c r="T13" s="22" t="n">
        <v>15</v>
      </c>
      <c r="U13" s="19" t="s">
        <v>88</v>
      </c>
      <c r="V13" s="8" t="s">
        <v>109</v>
      </c>
      <c r="W13" s="18" t="s">
        <v>85</v>
      </c>
    </row>
    <row r="14" customFormat="false" ht="26.85" hidden="false" customHeight="false" outlineLevel="0" collapsed="false">
      <c r="A14" s="18" t="s">
        <v>110</v>
      </c>
      <c r="B14" s="18" t="s">
        <v>106</v>
      </c>
      <c r="C14" s="18" t="s">
        <v>111</v>
      </c>
      <c r="D14" s="18" t="s">
        <v>73</v>
      </c>
      <c r="E14" s="8" t="s">
        <v>108</v>
      </c>
      <c r="F14" s="19" t="s">
        <v>32</v>
      </c>
      <c r="G14" s="20" t="n">
        <v>150</v>
      </c>
      <c r="H14" s="20" t="n">
        <v>200</v>
      </c>
      <c r="I14" s="20" t="n">
        <v>275</v>
      </c>
      <c r="J14" s="21" t="n">
        <f aca="false">G14*INDEX(Assumptions!$D$5:$D$7,MATCH($F14,Assumptions!$A$5:$A$7,0))</f>
        <v>180</v>
      </c>
      <c r="K14" s="21" t="n">
        <f aca="false">H14*INDEX(Assumptions!$D$5:$D$7,MATCH($F14,Assumptions!$A$5:$A$7,0))</f>
        <v>240</v>
      </c>
      <c r="L14" s="21" t="n">
        <f aca="false">I14*INDEX(Assumptions!$D$5:$D$7,MATCH($F14,Assumptions!$A$5:$A$7,0))</f>
        <v>330</v>
      </c>
      <c r="M14" s="21" t="n">
        <f aca="false">G14*INDEX(Assumptions!$E$5:$E$7,MATCH($F14,Assumptions!$A$5:$A$7,0))</f>
        <v>450</v>
      </c>
      <c r="N14" s="21" t="n">
        <f aca="false">H14*INDEX(Assumptions!$E$5:$E$7,MATCH($F14,Assumptions!$A$5:$A$7,0))</f>
        <v>600</v>
      </c>
      <c r="O14" s="21" t="n">
        <f aca="false">I14*INDEX(Assumptions!$E$5:$E$7,MATCH($F14,Assumptions!$A$5:$A$7,0))</f>
        <v>825</v>
      </c>
      <c r="P14" s="20"/>
      <c r="Q14" s="22" t="n">
        <v>2</v>
      </c>
      <c r="R14" s="22" t="n">
        <v>5</v>
      </c>
      <c r="S14" s="22" t="n">
        <v>7</v>
      </c>
      <c r="T14" s="22" t="n">
        <v>15</v>
      </c>
      <c r="U14" s="19" t="s">
        <v>88</v>
      </c>
      <c r="V14" s="8" t="s">
        <v>109</v>
      </c>
      <c r="W14" s="18" t="s">
        <v>81</v>
      </c>
    </row>
    <row r="15" customFormat="false" ht="26.85" hidden="false" customHeight="false" outlineLevel="0" collapsed="false">
      <c r="A15" s="18" t="s">
        <v>112</v>
      </c>
      <c r="B15" s="18" t="s">
        <v>106</v>
      </c>
      <c r="C15" s="18" t="s">
        <v>113</v>
      </c>
      <c r="D15" s="18" t="s">
        <v>73</v>
      </c>
      <c r="E15" s="8" t="s">
        <v>108</v>
      </c>
      <c r="F15" s="19" t="s">
        <v>32</v>
      </c>
      <c r="G15" s="20" t="n">
        <v>225</v>
      </c>
      <c r="H15" s="20" t="n">
        <v>300</v>
      </c>
      <c r="I15" s="20" t="n">
        <v>400</v>
      </c>
      <c r="J15" s="21" t="n">
        <f aca="false">G15*INDEX(Assumptions!$D$5:$D$7,MATCH($F15,Assumptions!$A$5:$A$7,0))</f>
        <v>270</v>
      </c>
      <c r="K15" s="21" t="n">
        <f aca="false">H15*INDEX(Assumptions!$D$5:$D$7,MATCH($F15,Assumptions!$A$5:$A$7,0))</f>
        <v>360</v>
      </c>
      <c r="L15" s="21" t="n">
        <f aca="false">I15*INDEX(Assumptions!$D$5:$D$7,MATCH($F15,Assumptions!$A$5:$A$7,0))</f>
        <v>480</v>
      </c>
      <c r="M15" s="21" t="n">
        <f aca="false">G15*INDEX(Assumptions!$E$5:$E$7,MATCH($F15,Assumptions!$A$5:$A$7,0))</f>
        <v>675</v>
      </c>
      <c r="N15" s="21" t="n">
        <f aca="false">H15*INDEX(Assumptions!$E$5:$E$7,MATCH($F15,Assumptions!$A$5:$A$7,0))</f>
        <v>900</v>
      </c>
      <c r="O15" s="21" t="n">
        <f aca="false">I15*INDEX(Assumptions!$E$5:$E$7,MATCH($F15,Assumptions!$A$5:$A$7,0))</f>
        <v>1200</v>
      </c>
      <c r="P15" s="20"/>
      <c r="Q15" s="22" t="n">
        <v>2</v>
      </c>
      <c r="R15" s="22" t="n">
        <v>5</v>
      </c>
      <c r="S15" s="22" t="n">
        <v>7</v>
      </c>
      <c r="T15" s="22" t="n">
        <v>15</v>
      </c>
      <c r="U15" s="19" t="s">
        <v>88</v>
      </c>
      <c r="V15" s="8" t="s">
        <v>109</v>
      </c>
      <c r="W15" s="18" t="s">
        <v>85</v>
      </c>
    </row>
    <row r="16" customFormat="false" ht="26.85" hidden="false" customHeight="false" outlineLevel="0" collapsed="false">
      <c r="A16" s="18" t="s">
        <v>114</v>
      </c>
      <c r="B16" s="18" t="s">
        <v>106</v>
      </c>
      <c r="C16" s="18" t="s">
        <v>115</v>
      </c>
      <c r="D16" s="18" t="s">
        <v>73</v>
      </c>
      <c r="E16" s="8" t="s">
        <v>108</v>
      </c>
      <c r="F16" s="19" t="s">
        <v>32</v>
      </c>
      <c r="G16" s="20" t="n">
        <v>300</v>
      </c>
      <c r="H16" s="20" t="n">
        <v>400</v>
      </c>
      <c r="I16" s="20" t="n">
        <v>550</v>
      </c>
      <c r="J16" s="21" t="n">
        <f aca="false">G16*INDEX(Assumptions!$D$5:$D$7,MATCH($F16,Assumptions!$A$5:$A$7,0))</f>
        <v>360</v>
      </c>
      <c r="K16" s="21" t="n">
        <f aca="false">H16*INDEX(Assumptions!$D$5:$D$7,MATCH($F16,Assumptions!$A$5:$A$7,0))</f>
        <v>480</v>
      </c>
      <c r="L16" s="21" t="n">
        <f aca="false">I16*INDEX(Assumptions!$D$5:$D$7,MATCH($F16,Assumptions!$A$5:$A$7,0))</f>
        <v>660</v>
      </c>
      <c r="M16" s="21" t="n">
        <f aca="false">G16*INDEX(Assumptions!$E$5:$E$7,MATCH($F16,Assumptions!$A$5:$A$7,0))</f>
        <v>900</v>
      </c>
      <c r="N16" s="21" t="n">
        <f aca="false">H16*INDEX(Assumptions!$E$5:$E$7,MATCH($F16,Assumptions!$A$5:$A$7,0))</f>
        <v>1200</v>
      </c>
      <c r="O16" s="21" t="n">
        <f aca="false">I16*INDEX(Assumptions!$E$5:$E$7,MATCH($F16,Assumptions!$A$5:$A$7,0))</f>
        <v>1650</v>
      </c>
      <c r="P16" s="20"/>
      <c r="Q16" s="22" t="n">
        <v>3</v>
      </c>
      <c r="R16" s="22" t="n">
        <v>7</v>
      </c>
      <c r="S16" s="22" t="n">
        <v>10</v>
      </c>
      <c r="T16" s="22" t="n">
        <v>15</v>
      </c>
      <c r="U16" s="19" t="s">
        <v>88</v>
      </c>
      <c r="V16" s="8" t="s">
        <v>109</v>
      </c>
      <c r="W16" s="18" t="s">
        <v>100</v>
      </c>
    </row>
    <row r="17" customFormat="false" ht="26.85" hidden="false" customHeight="false" outlineLevel="0" collapsed="false">
      <c r="A17" s="18" t="s">
        <v>116</v>
      </c>
      <c r="B17" s="18" t="s">
        <v>106</v>
      </c>
      <c r="C17" s="18" t="s">
        <v>117</v>
      </c>
      <c r="D17" s="18" t="s">
        <v>73</v>
      </c>
      <c r="E17" s="8" t="s">
        <v>108</v>
      </c>
      <c r="F17" s="19" t="s">
        <v>32</v>
      </c>
      <c r="G17" s="20" t="n">
        <v>200</v>
      </c>
      <c r="H17" s="20" t="n">
        <v>250</v>
      </c>
      <c r="I17" s="20" t="n">
        <v>350</v>
      </c>
      <c r="J17" s="21" t="n">
        <f aca="false">G17*INDEX(Assumptions!$D$5:$D$7,MATCH($F17,Assumptions!$A$5:$A$7,0))</f>
        <v>240</v>
      </c>
      <c r="K17" s="21" t="n">
        <f aca="false">H17*INDEX(Assumptions!$D$5:$D$7,MATCH($F17,Assumptions!$A$5:$A$7,0))</f>
        <v>300</v>
      </c>
      <c r="L17" s="21" t="n">
        <f aca="false">I17*INDEX(Assumptions!$D$5:$D$7,MATCH($F17,Assumptions!$A$5:$A$7,0))</f>
        <v>420</v>
      </c>
      <c r="M17" s="21" t="n">
        <f aca="false">G17*INDEX(Assumptions!$E$5:$E$7,MATCH($F17,Assumptions!$A$5:$A$7,0))</f>
        <v>600</v>
      </c>
      <c r="N17" s="21" t="n">
        <f aca="false">H17*INDEX(Assumptions!$E$5:$E$7,MATCH($F17,Assumptions!$A$5:$A$7,0))</f>
        <v>750</v>
      </c>
      <c r="O17" s="21" t="n">
        <f aca="false">I17*INDEX(Assumptions!$E$5:$E$7,MATCH($F17,Assumptions!$A$5:$A$7,0))</f>
        <v>1050</v>
      </c>
      <c r="P17" s="20"/>
      <c r="Q17" s="22" t="n">
        <v>2</v>
      </c>
      <c r="R17" s="22" t="n">
        <v>5</v>
      </c>
      <c r="S17" s="22" t="n">
        <v>7</v>
      </c>
      <c r="T17" s="22" t="n">
        <v>15</v>
      </c>
      <c r="U17" s="19" t="s">
        <v>88</v>
      </c>
      <c r="V17" s="8" t="s">
        <v>109</v>
      </c>
      <c r="W17" s="18" t="s">
        <v>100</v>
      </c>
    </row>
    <row r="18" customFormat="false" ht="26.85" hidden="false" customHeight="false" outlineLevel="0" collapsed="false">
      <c r="A18" s="18" t="s">
        <v>118</v>
      </c>
      <c r="B18" s="18" t="s">
        <v>106</v>
      </c>
      <c r="C18" s="18" t="s">
        <v>119</v>
      </c>
      <c r="D18" s="18" t="s">
        <v>73</v>
      </c>
      <c r="E18" s="8" t="s">
        <v>120</v>
      </c>
      <c r="F18" s="19" t="s">
        <v>32</v>
      </c>
      <c r="G18" s="20" t="n">
        <v>250</v>
      </c>
      <c r="H18" s="20" t="n">
        <v>350</v>
      </c>
      <c r="I18" s="20" t="n">
        <v>500</v>
      </c>
      <c r="J18" s="21" t="n">
        <f aca="false">G18*INDEX(Assumptions!$D$5:$D$7,MATCH($F18,Assumptions!$A$5:$A$7,0))</f>
        <v>300</v>
      </c>
      <c r="K18" s="21" t="n">
        <f aca="false">H18*INDEX(Assumptions!$D$5:$D$7,MATCH($F18,Assumptions!$A$5:$A$7,0))</f>
        <v>420</v>
      </c>
      <c r="L18" s="21" t="n">
        <f aca="false">I18*INDEX(Assumptions!$D$5:$D$7,MATCH($F18,Assumptions!$A$5:$A$7,0))</f>
        <v>600</v>
      </c>
      <c r="M18" s="21" t="n">
        <f aca="false">G18*INDEX(Assumptions!$E$5:$E$7,MATCH($F18,Assumptions!$A$5:$A$7,0))</f>
        <v>750</v>
      </c>
      <c r="N18" s="21" t="n">
        <f aca="false">H18*INDEX(Assumptions!$E$5:$E$7,MATCH($F18,Assumptions!$A$5:$A$7,0))</f>
        <v>1050</v>
      </c>
      <c r="O18" s="21" t="n">
        <f aca="false">I18*INDEX(Assumptions!$E$5:$E$7,MATCH($F18,Assumptions!$A$5:$A$7,0))</f>
        <v>1500</v>
      </c>
      <c r="P18" s="20"/>
      <c r="Q18" s="22" t="n">
        <v>3</v>
      </c>
      <c r="R18" s="22" t="n">
        <v>7</v>
      </c>
      <c r="S18" s="22" t="n">
        <v>10</v>
      </c>
      <c r="T18" s="22" t="n">
        <v>15</v>
      </c>
      <c r="U18" s="19" t="s">
        <v>88</v>
      </c>
      <c r="V18" s="8" t="s">
        <v>109</v>
      </c>
      <c r="W18" s="18" t="s">
        <v>121</v>
      </c>
    </row>
    <row r="19" customFormat="false" ht="26.85" hidden="false" customHeight="false" outlineLevel="0" collapsed="false">
      <c r="A19" s="18" t="s">
        <v>122</v>
      </c>
      <c r="B19" s="18" t="s">
        <v>106</v>
      </c>
      <c r="C19" s="18" t="s">
        <v>123</v>
      </c>
      <c r="D19" s="18" t="s">
        <v>73</v>
      </c>
      <c r="E19" s="8" t="s">
        <v>124</v>
      </c>
      <c r="F19" s="19" t="s">
        <v>29</v>
      </c>
      <c r="G19" s="20" t="n">
        <v>44</v>
      </c>
      <c r="H19" s="20" t="n">
        <v>60</v>
      </c>
      <c r="I19" s="20" t="n">
        <v>175</v>
      </c>
      <c r="J19" s="21" t="n">
        <f aca="false">G19*INDEX(Assumptions!$D$5:$D$7,MATCH($F19,Assumptions!$A$5:$A$7,0))</f>
        <v>50.6</v>
      </c>
      <c r="K19" s="21" t="n">
        <f aca="false">H19*INDEX(Assumptions!$D$5:$D$7,MATCH($F19,Assumptions!$A$5:$A$7,0))</f>
        <v>69</v>
      </c>
      <c r="L19" s="21" t="n">
        <f aca="false">I19*INDEX(Assumptions!$D$5:$D$7,MATCH($F19,Assumptions!$A$5:$A$7,0))</f>
        <v>201.25</v>
      </c>
      <c r="M19" s="21" t="n">
        <f aca="false">G19*INDEX(Assumptions!$E$5:$E$7,MATCH($F19,Assumptions!$A$5:$A$7,0))</f>
        <v>88</v>
      </c>
      <c r="N19" s="21" t="n">
        <f aca="false">H19*INDEX(Assumptions!$E$5:$E$7,MATCH($F19,Assumptions!$A$5:$A$7,0))</f>
        <v>120</v>
      </c>
      <c r="O19" s="21" t="n">
        <f aca="false">I19*INDEX(Assumptions!$E$5:$E$7,MATCH($F19,Assumptions!$A$5:$A$7,0))</f>
        <v>350</v>
      </c>
      <c r="P19" s="20"/>
      <c r="Q19" s="22" t="n">
        <v>0</v>
      </c>
      <c r="R19" s="22" t="n">
        <v>2</v>
      </c>
      <c r="S19" s="22" t="n">
        <v>5</v>
      </c>
      <c r="T19" s="22" t="n">
        <v>10</v>
      </c>
      <c r="U19" s="19" t="s">
        <v>75</v>
      </c>
      <c r="V19" s="8" t="s">
        <v>109</v>
      </c>
      <c r="W19" s="18" t="s">
        <v>81</v>
      </c>
    </row>
    <row r="20" customFormat="false" ht="26.85" hidden="false" customHeight="false" outlineLevel="0" collapsed="false">
      <c r="A20" s="18" t="s">
        <v>125</v>
      </c>
      <c r="B20" s="18" t="s">
        <v>106</v>
      </c>
      <c r="C20" s="18" t="s">
        <v>126</v>
      </c>
      <c r="D20" s="18" t="s">
        <v>127</v>
      </c>
      <c r="E20" s="8" t="s">
        <v>128</v>
      </c>
      <c r="F20" s="19" t="s">
        <v>29</v>
      </c>
      <c r="G20" s="20" t="n">
        <v>74</v>
      </c>
      <c r="H20" s="20" t="n">
        <v>85</v>
      </c>
      <c r="I20" s="20" t="n">
        <v>120</v>
      </c>
      <c r="J20" s="21" t="n">
        <f aca="false">G20*INDEX(Assumptions!$D$5:$D$7,MATCH($F20,Assumptions!$A$5:$A$7,0))</f>
        <v>85.1</v>
      </c>
      <c r="K20" s="21" t="n">
        <f aca="false">H20*INDEX(Assumptions!$D$5:$D$7,MATCH($F20,Assumptions!$A$5:$A$7,0))</f>
        <v>97.75</v>
      </c>
      <c r="L20" s="21" t="n">
        <f aca="false">I20*INDEX(Assumptions!$D$5:$D$7,MATCH($F20,Assumptions!$A$5:$A$7,0))</f>
        <v>138</v>
      </c>
      <c r="M20" s="21" t="n">
        <f aca="false">G20*INDEX(Assumptions!$E$5:$E$7,MATCH($F20,Assumptions!$A$5:$A$7,0))</f>
        <v>148</v>
      </c>
      <c r="N20" s="21" t="n">
        <f aca="false">H20*INDEX(Assumptions!$E$5:$E$7,MATCH($F20,Assumptions!$A$5:$A$7,0))</f>
        <v>170</v>
      </c>
      <c r="O20" s="21" t="n">
        <f aca="false">I20*INDEX(Assumptions!$E$5:$E$7,MATCH($F20,Assumptions!$A$5:$A$7,0))</f>
        <v>240</v>
      </c>
      <c r="P20" s="20"/>
      <c r="Q20" s="22" t="n">
        <v>0</v>
      </c>
      <c r="R20" s="22" t="n">
        <v>2</v>
      </c>
      <c r="S20" s="22" t="n">
        <v>5</v>
      </c>
      <c r="T20" s="22" t="n">
        <v>10</v>
      </c>
      <c r="U20" s="19" t="s">
        <v>75</v>
      </c>
      <c r="V20" s="8" t="s">
        <v>109</v>
      </c>
      <c r="W20" s="18" t="s">
        <v>129</v>
      </c>
    </row>
    <row r="21" customFormat="false" ht="26.85" hidden="false" customHeight="false" outlineLevel="0" collapsed="false">
      <c r="A21" s="18" t="s">
        <v>130</v>
      </c>
      <c r="B21" s="18" t="s">
        <v>106</v>
      </c>
      <c r="C21" s="18" t="s">
        <v>131</v>
      </c>
      <c r="D21" s="18" t="s">
        <v>127</v>
      </c>
      <c r="E21" s="8" t="s">
        <v>128</v>
      </c>
      <c r="F21" s="19" t="s">
        <v>29</v>
      </c>
      <c r="G21" s="20" t="n">
        <v>110</v>
      </c>
      <c r="H21" s="20" t="n">
        <v>120</v>
      </c>
      <c r="I21" s="20" t="n">
        <v>180</v>
      </c>
      <c r="J21" s="21" t="n">
        <f aca="false">G21*INDEX(Assumptions!$D$5:$D$7,MATCH($F21,Assumptions!$A$5:$A$7,0))</f>
        <v>126.5</v>
      </c>
      <c r="K21" s="21" t="n">
        <f aca="false">H21*INDEX(Assumptions!$D$5:$D$7,MATCH($F21,Assumptions!$A$5:$A$7,0))</f>
        <v>138</v>
      </c>
      <c r="L21" s="21" t="n">
        <f aca="false">I21*INDEX(Assumptions!$D$5:$D$7,MATCH($F21,Assumptions!$A$5:$A$7,0))</f>
        <v>207</v>
      </c>
      <c r="M21" s="21" t="n">
        <f aca="false">G21*INDEX(Assumptions!$E$5:$E$7,MATCH($F21,Assumptions!$A$5:$A$7,0))</f>
        <v>220</v>
      </c>
      <c r="N21" s="21" t="n">
        <f aca="false">H21*INDEX(Assumptions!$E$5:$E$7,MATCH($F21,Assumptions!$A$5:$A$7,0))</f>
        <v>240</v>
      </c>
      <c r="O21" s="21" t="n">
        <f aca="false">I21*INDEX(Assumptions!$E$5:$E$7,MATCH($F21,Assumptions!$A$5:$A$7,0))</f>
        <v>360</v>
      </c>
      <c r="P21" s="20"/>
      <c r="Q21" s="22" t="n">
        <v>1</v>
      </c>
      <c r="R21" s="22" t="n">
        <v>3</v>
      </c>
      <c r="S21" s="22" t="n">
        <v>5</v>
      </c>
      <c r="T21" s="22" t="n">
        <v>10</v>
      </c>
      <c r="U21" s="19" t="s">
        <v>88</v>
      </c>
      <c r="V21" s="8" t="s">
        <v>109</v>
      </c>
      <c r="W21" s="18" t="s">
        <v>132</v>
      </c>
    </row>
    <row r="22" customFormat="false" ht="26.85" hidden="false" customHeight="false" outlineLevel="0" collapsed="false">
      <c r="A22" s="18" t="s">
        <v>133</v>
      </c>
      <c r="B22" s="18" t="s">
        <v>106</v>
      </c>
      <c r="C22" s="18" t="s">
        <v>134</v>
      </c>
      <c r="D22" s="18" t="s">
        <v>127</v>
      </c>
      <c r="E22" s="8" t="s">
        <v>135</v>
      </c>
      <c r="F22" s="19" t="s">
        <v>26</v>
      </c>
      <c r="G22" s="20" t="n">
        <v>75</v>
      </c>
      <c r="H22" s="20" t="n">
        <v>100</v>
      </c>
      <c r="I22" s="20" t="n">
        <v>140</v>
      </c>
      <c r="J22" s="21" t="n">
        <f aca="false">G22*INDEX(Assumptions!$D$5:$D$7,MATCH($F22,Assumptions!$A$5:$A$7,0))</f>
        <v>75</v>
      </c>
      <c r="K22" s="21" t="n">
        <f aca="false">H22*INDEX(Assumptions!$D$5:$D$7,MATCH($F22,Assumptions!$A$5:$A$7,0))</f>
        <v>100</v>
      </c>
      <c r="L22" s="21" t="n">
        <f aca="false">I22*INDEX(Assumptions!$D$5:$D$7,MATCH($F22,Assumptions!$A$5:$A$7,0))</f>
        <v>140</v>
      </c>
      <c r="M22" s="21" t="n">
        <f aca="false">G22*INDEX(Assumptions!$E$5:$E$7,MATCH($F22,Assumptions!$A$5:$A$7,0))</f>
        <v>90</v>
      </c>
      <c r="N22" s="21" t="n">
        <f aca="false">H22*INDEX(Assumptions!$E$5:$E$7,MATCH($F22,Assumptions!$A$5:$A$7,0))</f>
        <v>120</v>
      </c>
      <c r="O22" s="21" t="n">
        <f aca="false">I22*INDEX(Assumptions!$E$5:$E$7,MATCH($F22,Assumptions!$A$5:$A$7,0))</f>
        <v>168</v>
      </c>
      <c r="P22" s="20"/>
      <c r="Q22" s="22" t="n">
        <v>0</v>
      </c>
      <c r="R22" s="22" t="n">
        <v>2</v>
      </c>
      <c r="S22" s="22" t="n">
        <v>5</v>
      </c>
      <c r="T22" s="22" t="n">
        <v>10</v>
      </c>
      <c r="U22" s="19" t="s">
        <v>75</v>
      </c>
      <c r="V22" s="8" t="s">
        <v>109</v>
      </c>
      <c r="W22" s="18" t="s">
        <v>100</v>
      </c>
    </row>
    <row r="23" customFormat="false" ht="26.85" hidden="false" customHeight="false" outlineLevel="0" collapsed="false">
      <c r="A23" s="18" t="s">
        <v>136</v>
      </c>
      <c r="B23" s="18" t="s">
        <v>106</v>
      </c>
      <c r="C23" s="18" t="s">
        <v>137</v>
      </c>
      <c r="D23" s="18" t="s">
        <v>73</v>
      </c>
      <c r="E23" s="8" t="s">
        <v>138</v>
      </c>
      <c r="F23" s="19" t="s">
        <v>26</v>
      </c>
      <c r="G23" s="20" t="n">
        <v>40</v>
      </c>
      <c r="H23" s="20" t="n">
        <v>75</v>
      </c>
      <c r="I23" s="20" t="n">
        <v>150</v>
      </c>
      <c r="J23" s="21" t="n">
        <f aca="false">G23*INDEX(Assumptions!$D$5:$D$7,MATCH($F23,Assumptions!$A$5:$A$7,0))</f>
        <v>40</v>
      </c>
      <c r="K23" s="21" t="n">
        <f aca="false">H23*INDEX(Assumptions!$D$5:$D$7,MATCH($F23,Assumptions!$A$5:$A$7,0))</f>
        <v>75</v>
      </c>
      <c r="L23" s="21" t="n">
        <f aca="false">I23*INDEX(Assumptions!$D$5:$D$7,MATCH($F23,Assumptions!$A$5:$A$7,0))</f>
        <v>150</v>
      </c>
      <c r="M23" s="21" t="n">
        <f aca="false">G23*INDEX(Assumptions!$E$5:$E$7,MATCH($F23,Assumptions!$A$5:$A$7,0))</f>
        <v>48</v>
      </c>
      <c r="N23" s="21" t="n">
        <f aca="false">H23*INDEX(Assumptions!$E$5:$E$7,MATCH($F23,Assumptions!$A$5:$A$7,0))</f>
        <v>90</v>
      </c>
      <c r="O23" s="21" t="n">
        <f aca="false">I23*INDEX(Assumptions!$E$5:$E$7,MATCH($F23,Assumptions!$A$5:$A$7,0))</f>
        <v>180</v>
      </c>
      <c r="P23" s="20"/>
      <c r="Q23" s="22" t="n">
        <v>0</v>
      </c>
      <c r="R23" s="22" t="n">
        <v>2</v>
      </c>
      <c r="S23" s="22" t="n">
        <v>5</v>
      </c>
      <c r="T23" s="22" t="n">
        <v>10</v>
      </c>
      <c r="U23" s="19" t="s">
        <v>75</v>
      </c>
      <c r="V23" s="8" t="s">
        <v>109</v>
      </c>
      <c r="W23" s="18" t="s">
        <v>132</v>
      </c>
    </row>
    <row r="24" customFormat="false" ht="26.85" hidden="false" customHeight="false" outlineLevel="0" collapsed="false">
      <c r="A24" s="18" t="s">
        <v>139</v>
      </c>
      <c r="B24" s="18" t="s">
        <v>106</v>
      </c>
      <c r="C24" s="18" t="s">
        <v>140</v>
      </c>
      <c r="D24" s="18" t="s">
        <v>73</v>
      </c>
      <c r="E24" s="8" t="s">
        <v>141</v>
      </c>
      <c r="F24" s="19" t="s">
        <v>32</v>
      </c>
      <c r="G24" s="20" t="n">
        <v>100</v>
      </c>
      <c r="H24" s="20" t="n">
        <v>150</v>
      </c>
      <c r="I24" s="20" t="n">
        <v>250</v>
      </c>
      <c r="J24" s="21" t="n">
        <f aca="false">G24*INDEX(Assumptions!$D$5:$D$7,MATCH($F24,Assumptions!$A$5:$A$7,0))</f>
        <v>120</v>
      </c>
      <c r="K24" s="21" t="n">
        <f aca="false">H24*INDEX(Assumptions!$D$5:$D$7,MATCH($F24,Assumptions!$A$5:$A$7,0))</f>
        <v>180</v>
      </c>
      <c r="L24" s="21" t="n">
        <f aca="false">I24*INDEX(Assumptions!$D$5:$D$7,MATCH($F24,Assumptions!$A$5:$A$7,0))</f>
        <v>300</v>
      </c>
      <c r="M24" s="21" t="n">
        <f aca="false">G24*INDEX(Assumptions!$E$5:$E$7,MATCH($F24,Assumptions!$A$5:$A$7,0))</f>
        <v>300</v>
      </c>
      <c r="N24" s="21" t="n">
        <f aca="false">H24*INDEX(Assumptions!$E$5:$E$7,MATCH($F24,Assumptions!$A$5:$A$7,0))</f>
        <v>450</v>
      </c>
      <c r="O24" s="21" t="n">
        <f aca="false">I24*INDEX(Assumptions!$E$5:$E$7,MATCH($F24,Assumptions!$A$5:$A$7,0))</f>
        <v>750</v>
      </c>
      <c r="P24" s="20"/>
      <c r="Q24" s="22" t="n">
        <v>2</v>
      </c>
      <c r="R24" s="22" t="n">
        <v>5</v>
      </c>
      <c r="S24" s="22" t="n">
        <v>7</v>
      </c>
      <c r="T24" s="22" t="n">
        <v>15</v>
      </c>
      <c r="U24" s="19" t="s">
        <v>88</v>
      </c>
      <c r="V24" s="8" t="s">
        <v>109</v>
      </c>
      <c r="W24" s="18" t="s">
        <v>92</v>
      </c>
    </row>
    <row r="25" customFormat="false" ht="26.85" hidden="false" customHeight="false" outlineLevel="0" collapsed="false">
      <c r="A25" s="18" t="s">
        <v>142</v>
      </c>
      <c r="B25" s="18" t="s">
        <v>143</v>
      </c>
      <c r="C25" s="18" t="s">
        <v>144</v>
      </c>
      <c r="D25" s="18" t="s">
        <v>145</v>
      </c>
      <c r="E25" s="8" t="s">
        <v>146</v>
      </c>
      <c r="F25" s="19" t="s">
        <v>29</v>
      </c>
      <c r="G25" s="20" t="n">
        <v>24</v>
      </c>
      <c r="H25" s="20" t="n">
        <v>50</v>
      </c>
      <c r="I25" s="20" t="n">
        <v>75</v>
      </c>
      <c r="J25" s="21" t="n">
        <f aca="false">G25*INDEX(Assumptions!$D$5:$D$7,MATCH($F25,Assumptions!$A$5:$A$7,0))</f>
        <v>27.6</v>
      </c>
      <c r="K25" s="21" t="n">
        <f aca="false">H25*INDEX(Assumptions!$D$5:$D$7,MATCH($F25,Assumptions!$A$5:$A$7,0))</f>
        <v>57.5</v>
      </c>
      <c r="L25" s="21" t="n">
        <f aca="false">I25*INDEX(Assumptions!$D$5:$D$7,MATCH($F25,Assumptions!$A$5:$A$7,0))</f>
        <v>86.25</v>
      </c>
      <c r="M25" s="21" t="n">
        <f aca="false">G25*INDEX(Assumptions!$E$5:$E$7,MATCH($F25,Assumptions!$A$5:$A$7,0))</f>
        <v>48</v>
      </c>
      <c r="N25" s="21" t="n">
        <f aca="false">H25*INDEX(Assumptions!$E$5:$E$7,MATCH($F25,Assumptions!$A$5:$A$7,0))</f>
        <v>100</v>
      </c>
      <c r="O25" s="21" t="n">
        <f aca="false">I25*INDEX(Assumptions!$E$5:$E$7,MATCH($F25,Assumptions!$A$5:$A$7,0))</f>
        <v>150</v>
      </c>
      <c r="P25" s="20" t="n">
        <v>20</v>
      </c>
      <c r="Q25" s="22" t="n">
        <v>0</v>
      </c>
      <c r="R25" s="22" t="n">
        <v>2</v>
      </c>
      <c r="S25" s="22" t="n">
        <v>5</v>
      </c>
      <c r="T25" s="22" t="n">
        <v>10</v>
      </c>
      <c r="U25" s="19" t="s">
        <v>75</v>
      </c>
      <c r="V25" s="8" t="s">
        <v>147</v>
      </c>
      <c r="W25" s="18" t="s">
        <v>148</v>
      </c>
    </row>
    <row r="26" customFormat="false" ht="26.85" hidden="false" customHeight="false" outlineLevel="0" collapsed="false">
      <c r="A26" s="18" t="s">
        <v>149</v>
      </c>
      <c r="B26" s="18" t="s">
        <v>143</v>
      </c>
      <c r="C26" s="18" t="s">
        <v>150</v>
      </c>
      <c r="D26" s="18" t="s">
        <v>145</v>
      </c>
      <c r="E26" s="8" t="s">
        <v>151</v>
      </c>
      <c r="F26" s="19" t="s">
        <v>29</v>
      </c>
      <c r="G26" s="20" t="n">
        <v>22</v>
      </c>
      <c r="H26" s="20" t="n">
        <v>60</v>
      </c>
      <c r="I26" s="20" t="n">
        <v>90</v>
      </c>
      <c r="J26" s="21" t="n">
        <f aca="false">G26*INDEX(Assumptions!$D$5:$D$7,MATCH($F26,Assumptions!$A$5:$A$7,0))</f>
        <v>25.3</v>
      </c>
      <c r="K26" s="21" t="n">
        <f aca="false">H26*INDEX(Assumptions!$D$5:$D$7,MATCH($F26,Assumptions!$A$5:$A$7,0))</f>
        <v>69</v>
      </c>
      <c r="L26" s="21" t="n">
        <f aca="false">I26*INDEX(Assumptions!$D$5:$D$7,MATCH($F26,Assumptions!$A$5:$A$7,0))</f>
        <v>103.5</v>
      </c>
      <c r="M26" s="21" t="n">
        <f aca="false">G26*INDEX(Assumptions!$E$5:$E$7,MATCH($F26,Assumptions!$A$5:$A$7,0))</f>
        <v>44</v>
      </c>
      <c r="N26" s="21" t="n">
        <f aca="false">H26*INDEX(Assumptions!$E$5:$E$7,MATCH($F26,Assumptions!$A$5:$A$7,0))</f>
        <v>120</v>
      </c>
      <c r="O26" s="21" t="n">
        <f aca="false">I26*INDEX(Assumptions!$E$5:$E$7,MATCH($F26,Assumptions!$A$5:$A$7,0))</f>
        <v>180</v>
      </c>
      <c r="P26" s="20" t="n">
        <v>30</v>
      </c>
      <c r="Q26" s="22" t="n">
        <v>0</v>
      </c>
      <c r="R26" s="22" t="n">
        <v>2</v>
      </c>
      <c r="S26" s="22" t="n">
        <v>5</v>
      </c>
      <c r="T26" s="22" t="n">
        <v>10</v>
      </c>
      <c r="U26" s="19" t="s">
        <v>75</v>
      </c>
      <c r="V26" s="8" t="s">
        <v>147</v>
      </c>
      <c r="W26" s="18" t="s">
        <v>152</v>
      </c>
    </row>
    <row r="27" customFormat="false" ht="26.85" hidden="false" customHeight="false" outlineLevel="0" collapsed="false">
      <c r="A27" s="18" t="s">
        <v>153</v>
      </c>
      <c r="B27" s="18" t="s">
        <v>143</v>
      </c>
      <c r="C27" s="18" t="s">
        <v>154</v>
      </c>
      <c r="D27" s="18" t="s">
        <v>155</v>
      </c>
      <c r="E27" s="8" t="s">
        <v>156</v>
      </c>
      <c r="F27" s="19" t="s">
        <v>29</v>
      </c>
      <c r="G27" s="20" t="n">
        <v>120</v>
      </c>
      <c r="H27" s="20" t="n">
        <v>150</v>
      </c>
      <c r="I27" s="20" t="n">
        <v>300</v>
      </c>
      <c r="J27" s="21" t="n">
        <f aca="false">G27*INDEX(Assumptions!$D$5:$D$7,MATCH($F27,Assumptions!$A$5:$A$7,0))</f>
        <v>138</v>
      </c>
      <c r="K27" s="21" t="n">
        <f aca="false">H27*INDEX(Assumptions!$D$5:$D$7,MATCH($F27,Assumptions!$A$5:$A$7,0))</f>
        <v>172.5</v>
      </c>
      <c r="L27" s="21" t="n">
        <f aca="false">I27*INDEX(Assumptions!$D$5:$D$7,MATCH($F27,Assumptions!$A$5:$A$7,0))</f>
        <v>345</v>
      </c>
      <c r="M27" s="21" t="n">
        <f aca="false">G27*INDEX(Assumptions!$E$5:$E$7,MATCH($F27,Assumptions!$A$5:$A$7,0))</f>
        <v>240</v>
      </c>
      <c r="N27" s="21" t="n">
        <f aca="false">H27*INDEX(Assumptions!$E$5:$E$7,MATCH($F27,Assumptions!$A$5:$A$7,0))</f>
        <v>300</v>
      </c>
      <c r="O27" s="21" t="n">
        <f aca="false">I27*INDEX(Assumptions!$E$5:$E$7,MATCH($F27,Assumptions!$A$5:$A$7,0))</f>
        <v>600</v>
      </c>
      <c r="P27" s="20"/>
      <c r="Q27" s="22" t="n">
        <v>1</v>
      </c>
      <c r="R27" s="22" t="n">
        <v>3</v>
      </c>
      <c r="S27" s="22" t="n">
        <v>5</v>
      </c>
      <c r="T27" s="22" t="n">
        <v>10</v>
      </c>
      <c r="U27" s="19" t="s">
        <v>88</v>
      </c>
      <c r="V27" s="8" t="s">
        <v>147</v>
      </c>
      <c r="W27" s="18" t="s">
        <v>92</v>
      </c>
    </row>
    <row r="28" customFormat="false" ht="26.85" hidden="false" customHeight="false" outlineLevel="0" collapsed="false">
      <c r="A28" s="18" t="s">
        <v>157</v>
      </c>
      <c r="B28" s="18" t="s">
        <v>143</v>
      </c>
      <c r="C28" s="18" t="s">
        <v>158</v>
      </c>
      <c r="D28" s="18" t="s">
        <v>145</v>
      </c>
      <c r="E28" s="8" t="s">
        <v>159</v>
      </c>
      <c r="F28" s="19" t="s">
        <v>29</v>
      </c>
      <c r="G28" s="20" t="n">
        <v>50</v>
      </c>
      <c r="H28" s="20" t="n">
        <v>60</v>
      </c>
      <c r="I28" s="20" t="n">
        <v>90</v>
      </c>
      <c r="J28" s="21" t="n">
        <f aca="false">G28*INDEX(Assumptions!$D$5:$D$7,MATCH($F28,Assumptions!$A$5:$A$7,0))</f>
        <v>57.5</v>
      </c>
      <c r="K28" s="21" t="n">
        <f aca="false">H28*INDEX(Assumptions!$D$5:$D$7,MATCH($F28,Assumptions!$A$5:$A$7,0))</f>
        <v>69</v>
      </c>
      <c r="L28" s="21" t="n">
        <f aca="false">I28*INDEX(Assumptions!$D$5:$D$7,MATCH($F28,Assumptions!$A$5:$A$7,0))</f>
        <v>103.5</v>
      </c>
      <c r="M28" s="21" t="n">
        <f aca="false">G28*INDEX(Assumptions!$E$5:$E$7,MATCH($F28,Assumptions!$A$5:$A$7,0))</f>
        <v>100</v>
      </c>
      <c r="N28" s="21" t="n">
        <f aca="false">H28*INDEX(Assumptions!$E$5:$E$7,MATCH($F28,Assumptions!$A$5:$A$7,0))</f>
        <v>120</v>
      </c>
      <c r="O28" s="21" t="n">
        <f aca="false">I28*INDEX(Assumptions!$E$5:$E$7,MATCH($F28,Assumptions!$A$5:$A$7,0))</f>
        <v>180</v>
      </c>
      <c r="P28" s="20" t="n">
        <v>25</v>
      </c>
      <c r="Q28" s="22" t="n">
        <v>1</v>
      </c>
      <c r="R28" s="22" t="n">
        <v>3</v>
      </c>
      <c r="S28" s="22" t="n">
        <v>5</v>
      </c>
      <c r="T28" s="22" t="n">
        <v>10</v>
      </c>
      <c r="U28" s="19" t="s">
        <v>88</v>
      </c>
      <c r="V28" s="8" t="s">
        <v>147</v>
      </c>
      <c r="W28" s="18" t="s">
        <v>100</v>
      </c>
    </row>
    <row r="29" customFormat="false" ht="26.85" hidden="false" customHeight="false" outlineLevel="0" collapsed="false">
      <c r="A29" s="18" t="s">
        <v>160</v>
      </c>
      <c r="B29" s="18" t="s">
        <v>143</v>
      </c>
      <c r="C29" s="18" t="s">
        <v>161</v>
      </c>
      <c r="D29" s="18" t="s">
        <v>73</v>
      </c>
      <c r="E29" s="8" t="s">
        <v>159</v>
      </c>
      <c r="F29" s="19" t="s">
        <v>26</v>
      </c>
      <c r="G29" s="20" t="n">
        <v>40</v>
      </c>
      <c r="H29" s="20" t="n">
        <v>50</v>
      </c>
      <c r="I29" s="20" t="n">
        <v>75</v>
      </c>
      <c r="J29" s="21" t="n">
        <f aca="false">G29*INDEX(Assumptions!$D$5:$D$7,MATCH($F29,Assumptions!$A$5:$A$7,0))</f>
        <v>40</v>
      </c>
      <c r="K29" s="21" t="n">
        <f aca="false">H29*INDEX(Assumptions!$D$5:$D$7,MATCH($F29,Assumptions!$A$5:$A$7,0))</f>
        <v>50</v>
      </c>
      <c r="L29" s="21" t="n">
        <f aca="false">I29*INDEX(Assumptions!$D$5:$D$7,MATCH($F29,Assumptions!$A$5:$A$7,0))</f>
        <v>75</v>
      </c>
      <c r="M29" s="21" t="n">
        <f aca="false">G29*INDEX(Assumptions!$E$5:$E$7,MATCH($F29,Assumptions!$A$5:$A$7,0))</f>
        <v>48</v>
      </c>
      <c r="N29" s="21" t="n">
        <f aca="false">H29*INDEX(Assumptions!$E$5:$E$7,MATCH($F29,Assumptions!$A$5:$A$7,0))</f>
        <v>60</v>
      </c>
      <c r="O29" s="21" t="n">
        <f aca="false">I29*INDEX(Assumptions!$E$5:$E$7,MATCH($F29,Assumptions!$A$5:$A$7,0))</f>
        <v>90</v>
      </c>
      <c r="P29" s="20"/>
      <c r="Q29" s="22" t="n">
        <v>0</v>
      </c>
      <c r="R29" s="22" t="n">
        <v>1</v>
      </c>
      <c r="S29" s="22" t="n">
        <v>3</v>
      </c>
      <c r="T29" s="22" t="n">
        <v>7</v>
      </c>
      <c r="U29" s="19" t="s">
        <v>75</v>
      </c>
      <c r="V29" s="8" t="s">
        <v>147</v>
      </c>
      <c r="W29" s="18" t="s">
        <v>100</v>
      </c>
    </row>
    <row r="30" customFormat="false" ht="26.85" hidden="false" customHeight="false" outlineLevel="0" collapsed="false">
      <c r="A30" s="18" t="s">
        <v>162</v>
      </c>
      <c r="B30" s="18" t="s">
        <v>143</v>
      </c>
      <c r="C30" s="18" t="s">
        <v>163</v>
      </c>
      <c r="D30" s="18" t="s">
        <v>155</v>
      </c>
      <c r="E30" s="8" t="s">
        <v>164</v>
      </c>
      <c r="F30" s="19" t="s">
        <v>29</v>
      </c>
      <c r="G30" s="20" t="n">
        <v>95</v>
      </c>
      <c r="H30" s="20" t="n">
        <v>110</v>
      </c>
      <c r="I30" s="20" t="n">
        <v>160</v>
      </c>
      <c r="J30" s="21" t="n">
        <f aca="false">G30*INDEX(Assumptions!$D$5:$D$7,MATCH($F30,Assumptions!$A$5:$A$7,0))</f>
        <v>109.25</v>
      </c>
      <c r="K30" s="21" t="n">
        <f aca="false">H30*INDEX(Assumptions!$D$5:$D$7,MATCH($F30,Assumptions!$A$5:$A$7,0))</f>
        <v>126.5</v>
      </c>
      <c r="L30" s="21" t="n">
        <f aca="false">I30*INDEX(Assumptions!$D$5:$D$7,MATCH($F30,Assumptions!$A$5:$A$7,0))</f>
        <v>184</v>
      </c>
      <c r="M30" s="21" t="n">
        <f aca="false">G30*INDEX(Assumptions!$E$5:$E$7,MATCH($F30,Assumptions!$A$5:$A$7,0))</f>
        <v>190</v>
      </c>
      <c r="N30" s="21" t="n">
        <f aca="false">H30*INDEX(Assumptions!$E$5:$E$7,MATCH($F30,Assumptions!$A$5:$A$7,0))</f>
        <v>220</v>
      </c>
      <c r="O30" s="21" t="n">
        <f aca="false">I30*INDEX(Assumptions!$E$5:$E$7,MATCH($F30,Assumptions!$A$5:$A$7,0))</f>
        <v>320</v>
      </c>
      <c r="P30" s="20"/>
      <c r="Q30" s="22" t="n">
        <v>1</v>
      </c>
      <c r="R30" s="22" t="n">
        <v>3</v>
      </c>
      <c r="S30" s="22" t="n">
        <v>7</v>
      </c>
      <c r="T30" s="22" t="n">
        <v>15</v>
      </c>
      <c r="U30" s="19" t="s">
        <v>88</v>
      </c>
      <c r="V30" s="8" t="s">
        <v>147</v>
      </c>
      <c r="W30" s="18" t="s">
        <v>100</v>
      </c>
    </row>
    <row r="31" customFormat="false" ht="26.85" hidden="false" customHeight="false" outlineLevel="0" collapsed="false">
      <c r="A31" s="18" t="s">
        <v>165</v>
      </c>
      <c r="B31" s="18" t="s">
        <v>143</v>
      </c>
      <c r="C31" s="18" t="s">
        <v>166</v>
      </c>
      <c r="D31" s="18" t="s">
        <v>155</v>
      </c>
      <c r="E31" s="8" t="s">
        <v>164</v>
      </c>
      <c r="F31" s="19" t="s">
        <v>29</v>
      </c>
      <c r="G31" s="20" t="n">
        <v>125</v>
      </c>
      <c r="H31" s="20" t="n">
        <v>150</v>
      </c>
      <c r="I31" s="20" t="n">
        <v>220</v>
      </c>
      <c r="J31" s="21" t="n">
        <f aca="false">G31*INDEX(Assumptions!$D$5:$D$7,MATCH($F31,Assumptions!$A$5:$A$7,0))</f>
        <v>143.75</v>
      </c>
      <c r="K31" s="21" t="n">
        <f aca="false">H31*INDEX(Assumptions!$D$5:$D$7,MATCH($F31,Assumptions!$A$5:$A$7,0))</f>
        <v>172.5</v>
      </c>
      <c r="L31" s="21" t="n">
        <f aca="false">I31*INDEX(Assumptions!$D$5:$D$7,MATCH($F31,Assumptions!$A$5:$A$7,0))</f>
        <v>253</v>
      </c>
      <c r="M31" s="21" t="n">
        <f aca="false">G31*INDEX(Assumptions!$E$5:$E$7,MATCH($F31,Assumptions!$A$5:$A$7,0))</f>
        <v>250</v>
      </c>
      <c r="N31" s="21" t="n">
        <f aca="false">H31*INDEX(Assumptions!$E$5:$E$7,MATCH($F31,Assumptions!$A$5:$A$7,0))</f>
        <v>300</v>
      </c>
      <c r="O31" s="21" t="n">
        <f aca="false">I31*INDEX(Assumptions!$E$5:$E$7,MATCH($F31,Assumptions!$A$5:$A$7,0))</f>
        <v>440</v>
      </c>
      <c r="P31" s="20"/>
      <c r="Q31" s="22" t="n">
        <v>1</v>
      </c>
      <c r="R31" s="22" t="n">
        <v>5</v>
      </c>
      <c r="S31" s="22" t="n">
        <v>7</v>
      </c>
      <c r="T31" s="22" t="n">
        <v>15</v>
      </c>
      <c r="U31" s="19" t="s">
        <v>88</v>
      </c>
      <c r="V31" s="8" t="s">
        <v>147</v>
      </c>
      <c r="W31" s="18" t="s">
        <v>100</v>
      </c>
    </row>
    <row r="32" customFormat="false" ht="26.85" hidden="false" customHeight="false" outlineLevel="0" collapsed="false">
      <c r="A32" s="18" t="s">
        <v>167</v>
      </c>
      <c r="B32" s="18" t="s">
        <v>143</v>
      </c>
      <c r="C32" s="18" t="s">
        <v>168</v>
      </c>
      <c r="D32" s="18" t="s">
        <v>155</v>
      </c>
      <c r="E32" s="8" t="s">
        <v>164</v>
      </c>
      <c r="F32" s="19" t="s">
        <v>29</v>
      </c>
      <c r="G32" s="20" t="n">
        <v>170</v>
      </c>
      <c r="H32" s="20" t="n">
        <v>190</v>
      </c>
      <c r="I32" s="20" t="n">
        <v>260</v>
      </c>
      <c r="J32" s="21" t="n">
        <f aca="false">G32*INDEX(Assumptions!$D$5:$D$7,MATCH($F32,Assumptions!$A$5:$A$7,0))</f>
        <v>195.5</v>
      </c>
      <c r="K32" s="21" t="n">
        <f aca="false">H32*INDEX(Assumptions!$D$5:$D$7,MATCH($F32,Assumptions!$A$5:$A$7,0))</f>
        <v>218.5</v>
      </c>
      <c r="L32" s="21" t="n">
        <f aca="false">I32*INDEX(Assumptions!$D$5:$D$7,MATCH($F32,Assumptions!$A$5:$A$7,0))</f>
        <v>299</v>
      </c>
      <c r="M32" s="21" t="n">
        <f aca="false">G32*INDEX(Assumptions!$E$5:$E$7,MATCH($F32,Assumptions!$A$5:$A$7,0))</f>
        <v>340</v>
      </c>
      <c r="N32" s="21" t="n">
        <f aca="false">H32*INDEX(Assumptions!$E$5:$E$7,MATCH($F32,Assumptions!$A$5:$A$7,0))</f>
        <v>380</v>
      </c>
      <c r="O32" s="21" t="n">
        <f aca="false">I32*INDEX(Assumptions!$E$5:$E$7,MATCH($F32,Assumptions!$A$5:$A$7,0))</f>
        <v>520</v>
      </c>
      <c r="P32" s="20"/>
      <c r="Q32" s="22" t="n">
        <v>1</v>
      </c>
      <c r="R32" s="22" t="n">
        <v>5</v>
      </c>
      <c r="S32" s="22" t="n">
        <v>7</v>
      </c>
      <c r="T32" s="22" t="n">
        <v>15</v>
      </c>
      <c r="U32" s="19" t="s">
        <v>88</v>
      </c>
      <c r="V32" s="8" t="s">
        <v>147</v>
      </c>
      <c r="W32" s="18" t="s">
        <v>100</v>
      </c>
    </row>
    <row r="33" customFormat="false" ht="26.85" hidden="false" customHeight="false" outlineLevel="0" collapsed="false">
      <c r="A33" s="18" t="s">
        <v>169</v>
      </c>
      <c r="B33" s="18" t="s">
        <v>143</v>
      </c>
      <c r="C33" s="18" t="s">
        <v>170</v>
      </c>
      <c r="D33" s="18" t="s">
        <v>155</v>
      </c>
      <c r="E33" s="8" t="s">
        <v>164</v>
      </c>
      <c r="F33" s="19" t="s">
        <v>29</v>
      </c>
      <c r="G33" s="20" t="n">
        <v>200</v>
      </c>
      <c r="H33" s="20" t="n">
        <v>230</v>
      </c>
      <c r="I33" s="20" t="n">
        <v>320</v>
      </c>
      <c r="J33" s="21" t="n">
        <f aca="false">G33*INDEX(Assumptions!$D$5:$D$7,MATCH($F33,Assumptions!$A$5:$A$7,0))</f>
        <v>230</v>
      </c>
      <c r="K33" s="21" t="n">
        <f aca="false">H33*INDEX(Assumptions!$D$5:$D$7,MATCH($F33,Assumptions!$A$5:$A$7,0))</f>
        <v>264.5</v>
      </c>
      <c r="L33" s="21" t="n">
        <f aca="false">I33*INDEX(Assumptions!$D$5:$D$7,MATCH($F33,Assumptions!$A$5:$A$7,0))</f>
        <v>368</v>
      </c>
      <c r="M33" s="21" t="n">
        <f aca="false">G33*INDEX(Assumptions!$E$5:$E$7,MATCH($F33,Assumptions!$A$5:$A$7,0))</f>
        <v>400</v>
      </c>
      <c r="N33" s="21" t="n">
        <f aca="false">H33*INDEX(Assumptions!$E$5:$E$7,MATCH($F33,Assumptions!$A$5:$A$7,0))</f>
        <v>460</v>
      </c>
      <c r="O33" s="21" t="n">
        <f aca="false">I33*INDEX(Assumptions!$E$5:$E$7,MATCH($F33,Assumptions!$A$5:$A$7,0))</f>
        <v>640</v>
      </c>
      <c r="P33" s="20"/>
      <c r="Q33" s="22" t="n">
        <v>2</v>
      </c>
      <c r="R33" s="22" t="n">
        <v>5</v>
      </c>
      <c r="S33" s="22" t="n">
        <v>7</v>
      </c>
      <c r="T33" s="22" t="n">
        <v>15</v>
      </c>
      <c r="U33" s="19" t="s">
        <v>88</v>
      </c>
      <c r="V33" s="8" t="s">
        <v>147</v>
      </c>
      <c r="W33" s="18" t="s">
        <v>100</v>
      </c>
    </row>
    <row r="34" customFormat="false" ht="26.85" hidden="false" customHeight="false" outlineLevel="0" collapsed="false">
      <c r="A34" s="18" t="s">
        <v>171</v>
      </c>
      <c r="B34" s="18" t="s">
        <v>143</v>
      </c>
      <c r="C34" s="18" t="s">
        <v>172</v>
      </c>
      <c r="D34" s="18" t="s">
        <v>155</v>
      </c>
      <c r="E34" s="8" t="s">
        <v>173</v>
      </c>
      <c r="F34" s="19" t="s">
        <v>29</v>
      </c>
      <c r="G34" s="20" t="n">
        <v>45</v>
      </c>
      <c r="H34" s="20" t="n">
        <v>50</v>
      </c>
      <c r="I34" s="20" t="n">
        <v>80</v>
      </c>
      <c r="J34" s="21" t="n">
        <f aca="false">G34*INDEX(Assumptions!$D$5:$D$7,MATCH($F34,Assumptions!$A$5:$A$7,0))</f>
        <v>51.75</v>
      </c>
      <c r="K34" s="21" t="n">
        <f aca="false">H34*INDEX(Assumptions!$D$5:$D$7,MATCH($F34,Assumptions!$A$5:$A$7,0))</f>
        <v>57.5</v>
      </c>
      <c r="L34" s="21" t="n">
        <f aca="false">I34*INDEX(Assumptions!$D$5:$D$7,MATCH($F34,Assumptions!$A$5:$A$7,0))</f>
        <v>92</v>
      </c>
      <c r="M34" s="21" t="n">
        <f aca="false">G34*INDEX(Assumptions!$E$5:$E$7,MATCH($F34,Assumptions!$A$5:$A$7,0))</f>
        <v>90</v>
      </c>
      <c r="N34" s="21" t="n">
        <f aca="false">H34*INDEX(Assumptions!$E$5:$E$7,MATCH($F34,Assumptions!$A$5:$A$7,0))</f>
        <v>100</v>
      </c>
      <c r="O34" s="21" t="n">
        <f aca="false">I34*INDEX(Assumptions!$E$5:$E$7,MATCH($F34,Assumptions!$A$5:$A$7,0))</f>
        <v>160</v>
      </c>
      <c r="P34" s="20"/>
      <c r="Q34" s="22" t="n">
        <v>0</v>
      </c>
      <c r="R34" s="22" t="n">
        <v>2</v>
      </c>
      <c r="S34" s="22" t="n">
        <v>5</v>
      </c>
      <c r="T34" s="22" t="n">
        <v>10</v>
      </c>
      <c r="U34" s="19" t="s">
        <v>75</v>
      </c>
      <c r="V34" s="8" t="s">
        <v>147</v>
      </c>
      <c r="W34" s="18" t="s">
        <v>100</v>
      </c>
    </row>
    <row r="35" customFormat="false" ht="39.55" hidden="false" customHeight="false" outlineLevel="0" collapsed="false">
      <c r="A35" s="18" t="s">
        <v>174</v>
      </c>
      <c r="B35" s="18" t="s">
        <v>175</v>
      </c>
      <c r="C35" s="18" t="s">
        <v>176</v>
      </c>
      <c r="D35" s="18" t="s">
        <v>73</v>
      </c>
      <c r="E35" s="8" t="s">
        <v>177</v>
      </c>
      <c r="F35" s="19" t="s">
        <v>26</v>
      </c>
      <c r="G35" s="20" t="n">
        <v>34</v>
      </c>
      <c r="H35" s="20" t="n">
        <v>65</v>
      </c>
      <c r="I35" s="20" t="n">
        <v>90</v>
      </c>
      <c r="J35" s="21" t="n">
        <f aca="false">G35*INDEX(Assumptions!$D$5:$D$7,MATCH($F35,Assumptions!$A$5:$A$7,0))</f>
        <v>34</v>
      </c>
      <c r="K35" s="21" t="n">
        <f aca="false">H35*INDEX(Assumptions!$D$5:$D$7,MATCH($F35,Assumptions!$A$5:$A$7,0))</f>
        <v>65</v>
      </c>
      <c r="L35" s="21" t="n">
        <f aca="false">I35*INDEX(Assumptions!$D$5:$D$7,MATCH($F35,Assumptions!$A$5:$A$7,0))</f>
        <v>90</v>
      </c>
      <c r="M35" s="21" t="n">
        <f aca="false">G35*INDEX(Assumptions!$E$5:$E$7,MATCH($F35,Assumptions!$A$5:$A$7,0))</f>
        <v>40.8</v>
      </c>
      <c r="N35" s="21" t="n">
        <f aca="false">H35*INDEX(Assumptions!$E$5:$E$7,MATCH($F35,Assumptions!$A$5:$A$7,0))</f>
        <v>78</v>
      </c>
      <c r="O35" s="21" t="n">
        <f aca="false">I35*INDEX(Assumptions!$E$5:$E$7,MATCH($F35,Assumptions!$A$5:$A$7,0))</f>
        <v>108</v>
      </c>
      <c r="P35" s="20"/>
      <c r="Q35" s="22" t="n">
        <v>0</v>
      </c>
      <c r="R35" s="22" t="n">
        <v>1</v>
      </c>
      <c r="S35" s="22" t="n">
        <v>5</v>
      </c>
      <c r="T35" s="22" t="n">
        <v>7</v>
      </c>
      <c r="U35" s="19" t="s">
        <v>75</v>
      </c>
      <c r="V35" s="8" t="s">
        <v>178</v>
      </c>
      <c r="W35" s="18" t="s">
        <v>179</v>
      </c>
    </row>
    <row r="36" customFormat="false" ht="39.55" hidden="false" customHeight="false" outlineLevel="0" collapsed="false">
      <c r="A36" s="18" t="s">
        <v>180</v>
      </c>
      <c r="B36" s="18" t="s">
        <v>175</v>
      </c>
      <c r="C36" s="18" t="s">
        <v>181</v>
      </c>
      <c r="D36" s="18" t="s">
        <v>182</v>
      </c>
      <c r="E36" s="8" t="s">
        <v>183</v>
      </c>
      <c r="F36" s="19" t="s">
        <v>26</v>
      </c>
      <c r="G36" s="20" t="n">
        <v>34</v>
      </c>
      <c r="H36" s="20" t="n">
        <v>55</v>
      </c>
      <c r="I36" s="20" t="n">
        <v>75</v>
      </c>
      <c r="J36" s="21" t="n">
        <f aca="false">G36*INDEX(Assumptions!$D$5:$D$7,MATCH($F36,Assumptions!$A$5:$A$7,0))</f>
        <v>34</v>
      </c>
      <c r="K36" s="21" t="n">
        <f aca="false">H36*INDEX(Assumptions!$D$5:$D$7,MATCH($F36,Assumptions!$A$5:$A$7,0))</f>
        <v>55</v>
      </c>
      <c r="L36" s="21" t="n">
        <f aca="false">I36*INDEX(Assumptions!$D$5:$D$7,MATCH($F36,Assumptions!$A$5:$A$7,0))</f>
        <v>75</v>
      </c>
      <c r="M36" s="21" t="n">
        <f aca="false">G36*INDEX(Assumptions!$E$5:$E$7,MATCH($F36,Assumptions!$A$5:$A$7,0))</f>
        <v>40.8</v>
      </c>
      <c r="N36" s="21" t="n">
        <f aca="false">H36*INDEX(Assumptions!$E$5:$E$7,MATCH($F36,Assumptions!$A$5:$A$7,0))</f>
        <v>66</v>
      </c>
      <c r="O36" s="21" t="n">
        <f aca="false">I36*INDEX(Assumptions!$E$5:$E$7,MATCH($F36,Assumptions!$A$5:$A$7,0))</f>
        <v>90</v>
      </c>
      <c r="P36" s="20" t="n">
        <v>20</v>
      </c>
      <c r="Q36" s="22" t="n">
        <v>0</v>
      </c>
      <c r="R36" s="22" t="n">
        <v>1</v>
      </c>
      <c r="S36" s="22" t="n">
        <v>5</v>
      </c>
      <c r="T36" s="22" t="n">
        <v>7</v>
      </c>
      <c r="U36" s="19" t="s">
        <v>75</v>
      </c>
      <c r="V36" s="8" t="s">
        <v>178</v>
      </c>
      <c r="W36" s="18" t="s">
        <v>81</v>
      </c>
    </row>
    <row r="37" customFormat="false" ht="39.55" hidden="false" customHeight="false" outlineLevel="0" collapsed="false">
      <c r="A37" s="18" t="s">
        <v>184</v>
      </c>
      <c r="B37" s="18" t="s">
        <v>175</v>
      </c>
      <c r="C37" s="18" t="s">
        <v>185</v>
      </c>
      <c r="D37" s="18" t="s">
        <v>182</v>
      </c>
      <c r="E37" s="8" t="s">
        <v>183</v>
      </c>
      <c r="F37" s="19" t="s">
        <v>26</v>
      </c>
      <c r="G37" s="20" t="n">
        <v>45</v>
      </c>
      <c r="H37" s="20" t="n">
        <v>55</v>
      </c>
      <c r="I37" s="20" t="n">
        <v>80</v>
      </c>
      <c r="J37" s="21" t="n">
        <f aca="false">G37*INDEX(Assumptions!$D$5:$D$7,MATCH($F37,Assumptions!$A$5:$A$7,0))</f>
        <v>45</v>
      </c>
      <c r="K37" s="21" t="n">
        <f aca="false">H37*INDEX(Assumptions!$D$5:$D$7,MATCH($F37,Assumptions!$A$5:$A$7,0))</f>
        <v>55</v>
      </c>
      <c r="L37" s="21" t="n">
        <f aca="false">I37*INDEX(Assumptions!$D$5:$D$7,MATCH($F37,Assumptions!$A$5:$A$7,0))</f>
        <v>80</v>
      </c>
      <c r="M37" s="21" t="n">
        <f aca="false">G37*INDEX(Assumptions!$E$5:$E$7,MATCH($F37,Assumptions!$A$5:$A$7,0))</f>
        <v>54</v>
      </c>
      <c r="N37" s="21" t="n">
        <f aca="false">H37*INDEX(Assumptions!$E$5:$E$7,MATCH($F37,Assumptions!$A$5:$A$7,0))</f>
        <v>66</v>
      </c>
      <c r="O37" s="21" t="n">
        <f aca="false">I37*INDEX(Assumptions!$E$5:$E$7,MATCH($F37,Assumptions!$A$5:$A$7,0))</f>
        <v>96</v>
      </c>
      <c r="P37" s="20" t="n">
        <v>15</v>
      </c>
      <c r="Q37" s="22" t="n">
        <v>0</v>
      </c>
      <c r="R37" s="22" t="n">
        <v>2</v>
      </c>
      <c r="S37" s="22" t="n">
        <v>5</v>
      </c>
      <c r="T37" s="22" t="n">
        <v>7</v>
      </c>
      <c r="U37" s="19" t="s">
        <v>75</v>
      </c>
      <c r="V37" s="8" t="s">
        <v>178</v>
      </c>
      <c r="W37" s="18" t="s">
        <v>100</v>
      </c>
    </row>
    <row r="38" customFormat="false" ht="39.55" hidden="false" customHeight="false" outlineLevel="0" collapsed="false">
      <c r="A38" s="18" t="s">
        <v>186</v>
      </c>
      <c r="B38" s="18" t="s">
        <v>175</v>
      </c>
      <c r="C38" s="18" t="s">
        <v>187</v>
      </c>
      <c r="D38" s="18" t="s">
        <v>182</v>
      </c>
      <c r="E38" s="8" t="s">
        <v>183</v>
      </c>
      <c r="F38" s="19" t="s">
        <v>26</v>
      </c>
      <c r="G38" s="20" t="n">
        <v>50</v>
      </c>
      <c r="H38" s="20" t="n">
        <v>65</v>
      </c>
      <c r="I38" s="20" t="n">
        <v>90</v>
      </c>
      <c r="J38" s="21" t="n">
        <f aca="false">G38*INDEX(Assumptions!$D$5:$D$7,MATCH($F38,Assumptions!$A$5:$A$7,0))</f>
        <v>50</v>
      </c>
      <c r="K38" s="21" t="n">
        <f aca="false">H38*INDEX(Assumptions!$D$5:$D$7,MATCH($F38,Assumptions!$A$5:$A$7,0))</f>
        <v>65</v>
      </c>
      <c r="L38" s="21" t="n">
        <f aca="false">I38*INDEX(Assumptions!$D$5:$D$7,MATCH($F38,Assumptions!$A$5:$A$7,0))</f>
        <v>90</v>
      </c>
      <c r="M38" s="21" t="n">
        <f aca="false">G38*INDEX(Assumptions!$E$5:$E$7,MATCH($F38,Assumptions!$A$5:$A$7,0))</f>
        <v>60</v>
      </c>
      <c r="N38" s="21" t="n">
        <f aca="false">H38*INDEX(Assumptions!$E$5:$E$7,MATCH($F38,Assumptions!$A$5:$A$7,0))</f>
        <v>78</v>
      </c>
      <c r="O38" s="21" t="n">
        <f aca="false">I38*INDEX(Assumptions!$E$5:$E$7,MATCH($F38,Assumptions!$A$5:$A$7,0))</f>
        <v>108</v>
      </c>
      <c r="P38" s="20" t="n">
        <v>25</v>
      </c>
      <c r="Q38" s="22" t="n">
        <v>0</v>
      </c>
      <c r="R38" s="22" t="n">
        <v>2</v>
      </c>
      <c r="S38" s="22" t="n">
        <v>5</v>
      </c>
      <c r="T38" s="22" t="n">
        <v>7</v>
      </c>
      <c r="U38" s="19" t="s">
        <v>75</v>
      </c>
      <c r="V38" s="8" t="s">
        <v>178</v>
      </c>
      <c r="W38" s="18" t="s">
        <v>100</v>
      </c>
    </row>
    <row r="39" customFormat="false" ht="39.55" hidden="false" customHeight="false" outlineLevel="0" collapsed="false">
      <c r="A39" s="18" t="s">
        <v>188</v>
      </c>
      <c r="B39" s="18" t="s">
        <v>175</v>
      </c>
      <c r="C39" s="18" t="s">
        <v>189</v>
      </c>
      <c r="D39" s="18" t="s">
        <v>182</v>
      </c>
      <c r="E39" s="8" t="s">
        <v>190</v>
      </c>
      <c r="F39" s="19" t="s">
        <v>26</v>
      </c>
      <c r="G39" s="20" t="n">
        <v>15</v>
      </c>
      <c r="H39" s="20" t="n">
        <v>50</v>
      </c>
      <c r="I39" s="20" t="n">
        <v>60</v>
      </c>
      <c r="J39" s="21" t="n">
        <f aca="false">G39*INDEX(Assumptions!$D$5:$D$7,MATCH($F39,Assumptions!$A$5:$A$7,0))</f>
        <v>15</v>
      </c>
      <c r="K39" s="21" t="n">
        <f aca="false">H39*INDEX(Assumptions!$D$5:$D$7,MATCH($F39,Assumptions!$A$5:$A$7,0))</f>
        <v>50</v>
      </c>
      <c r="L39" s="21" t="n">
        <f aca="false">I39*INDEX(Assumptions!$D$5:$D$7,MATCH($F39,Assumptions!$A$5:$A$7,0))</f>
        <v>60</v>
      </c>
      <c r="M39" s="21" t="n">
        <f aca="false">G39*INDEX(Assumptions!$E$5:$E$7,MATCH($F39,Assumptions!$A$5:$A$7,0))</f>
        <v>18</v>
      </c>
      <c r="N39" s="21" t="n">
        <f aca="false">H39*INDEX(Assumptions!$E$5:$E$7,MATCH($F39,Assumptions!$A$5:$A$7,0))</f>
        <v>60</v>
      </c>
      <c r="O39" s="21" t="n">
        <f aca="false">I39*INDEX(Assumptions!$E$5:$E$7,MATCH($F39,Assumptions!$A$5:$A$7,0))</f>
        <v>72</v>
      </c>
      <c r="P39" s="20"/>
      <c r="Q39" s="22" t="n">
        <v>0</v>
      </c>
      <c r="R39" s="22" t="n">
        <v>2</v>
      </c>
      <c r="S39" s="22" t="n">
        <v>5</v>
      </c>
      <c r="T39" s="22" t="n">
        <v>10</v>
      </c>
      <c r="U39" s="19" t="s">
        <v>75</v>
      </c>
      <c r="V39" s="8" t="s">
        <v>178</v>
      </c>
      <c r="W39" s="18" t="s">
        <v>152</v>
      </c>
    </row>
    <row r="40" customFormat="false" ht="39.55" hidden="false" customHeight="false" outlineLevel="0" collapsed="false">
      <c r="A40" s="18" t="s">
        <v>191</v>
      </c>
      <c r="B40" s="18" t="s">
        <v>175</v>
      </c>
      <c r="C40" s="18" t="s">
        <v>192</v>
      </c>
      <c r="D40" s="18" t="s">
        <v>182</v>
      </c>
      <c r="E40" s="8" t="s">
        <v>193</v>
      </c>
      <c r="F40" s="19" t="s">
        <v>26</v>
      </c>
      <c r="G40" s="20" t="n">
        <v>50</v>
      </c>
      <c r="H40" s="20" t="n">
        <v>58</v>
      </c>
      <c r="I40" s="20" t="n">
        <v>80</v>
      </c>
      <c r="J40" s="21" t="n">
        <f aca="false">G40*INDEX(Assumptions!$D$5:$D$7,MATCH($F40,Assumptions!$A$5:$A$7,0))</f>
        <v>50</v>
      </c>
      <c r="K40" s="21" t="n">
        <f aca="false">H40*INDEX(Assumptions!$D$5:$D$7,MATCH($F40,Assumptions!$A$5:$A$7,0))</f>
        <v>58</v>
      </c>
      <c r="L40" s="21" t="n">
        <f aca="false">I40*INDEX(Assumptions!$D$5:$D$7,MATCH($F40,Assumptions!$A$5:$A$7,0))</f>
        <v>80</v>
      </c>
      <c r="M40" s="21" t="n">
        <f aca="false">G40*INDEX(Assumptions!$E$5:$E$7,MATCH($F40,Assumptions!$A$5:$A$7,0))</f>
        <v>60</v>
      </c>
      <c r="N40" s="21" t="n">
        <f aca="false">H40*INDEX(Assumptions!$E$5:$E$7,MATCH($F40,Assumptions!$A$5:$A$7,0))</f>
        <v>69.6</v>
      </c>
      <c r="O40" s="21" t="n">
        <f aca="false">I40*INDEX(Assumptions!$E$5:$E$7,MATCH($F40,Assumptions!$A$5:$A$7,0))</f>
        <v>96</v>
      </c>
      <c r="P40" s="20"/>
      <c r="Q40" s="22" t="n">
        <v>0</v>
      </c>
      <c r="R40" s="22" t="n">
        <v>2</v>
      </c>
      <c r="S40" s="22" t="n">
        <v>5</v>
      </c>
      <c r="T40" s="22" t="n">
        <v>10</v>
      </c>
      <c r="U40" s="19" t="s">
        <v>75</v>
      </c>
      <c r="V40" s="8" t="s">
        <v>178</v>
      </c>
      <c r="W40" s="18" t="s">
        <v>100</v>
      </c>
    </row>
    <row r="41" customFormat="false" ht="39.55" hidden="false" customHeight="false" outlineLevel="0" collapsed="false">
      <c r="A41" s="18" t="s">
        <v>194</v>
      </c>
      <c r="B41" s="18" t="s">
        <v>175</v>
      </c>
      <c r="C41" s="18" t="s">
        <v>195</v>
      </c>
      <c r="D41" s="18" t="s">
        <v>182</v>
      </c>
      <c r="E41" s="8" t="s">
        <v>193</v>
      </c>
      <c r="F41" s="19" t="s">
        <v>26</v>
      </c>
      <c r="G41" s="20" t="n">
        <v>70</v>
      </c>
      <c r="H41" s="20" t="n">
        <v>80</v>
      </c>
      <c r="I41" s="20" t="n">
        <v>110</v>
      </c>
      <c r="J41" s="21" t="n">
        <f aca="false">G41*INDEX(Assumptions!$D$5:$D$7,MATCH($F41,Assumptions!$A$5:$A$7,0))</f>
        <v>70</v>
      </c>
      <c r="K41" s="21" t="n">
        <f aca="false">H41*INDEX(Assumptions!$D$5:$D$7,MATCH($F41,Assumptions!$A$5:$A$7,0))</f>
        <v>80</v>
      </c>
      <c r="L41" s="21" t="n">
        <f aca="false">I41*INDEX(Assumptions!$D$5:$D$7,MATCH($F41,Assumptions!$A$5:$A$7,0))</f>
        <v>110</v>
      </c>
      <c r="M41" s="21" t="n">
        <f aca="false">G41*INDEX(Assumptions!$E$5:$E$7,MATCH($F41,Assumptions!$A$5:$A$7,0))</f>
        <v>84</v>
      </c>
      <c r="N41" s="21" t="n">
        <f aca="false">H41*INDEX(Assumptions!$E$5:$E$7,MATCH($F41,Assumptions!$A$5:$A$7,0))</f>
        <v>96</v>
      </c>
      <c r="O41" s="21" t="n">
        <f aca="false">I41*INDEX(Assumptions!$E$5:$E$7,MATCH($F41,Assumptions!$A$5:$A$7,0))</f>
        <v>132</v>
      </c>
      <c r="P41" s="20"/>
      <c r="Q41" s="22" t="n">
        <v>1</v>
      </c>
      <c r="R41" s="22" t="n">
        <v>3</v>
      </c>
      <c r="S41" s="22" t="n">
        <v>7</v>
      </c>
      <c r="T41" s="22" t="n">
        <v>10</v>
      </c>
      <c r="U41" s="19" t="s">
        <v>88</v>
      </c>
      <c r="V41" s="8" t="s">
        <v>178</v>
      </c>
      <c r="W41" s="18" t="s">
        <v>100</v>
      </c>
    </row>
    <row r="42" customFormat="false" ht="39.55" hidden="false" customHeight="false" outlineLevel="0" collapsed="false">
      <c r="A42" s="18" t="s">
        <v>196</v>
      </c>
      <c r="B42" s="18" t="s">
        <v>175</v>
      </c>
      <c r="C42" s="18" t="s">
        <v>197</v>
      </c>
      <c r="D42" s="18" t="s">
        <v>182</v>
      </c>
      <c r="E42" s="8" t="s">
        <v>193</v>
      </c>
      <c r="F42" s="19" t="s">
        <v>26</v>
      </c>
      <c r="G42" s="20" t="n">
        <v>85</v>
      </c>
      <c r="H42" s="20" t="n">
        <v>95</v>
      </c>
      <c r="I42" s="20" t="n">
        <v>140</v>
      </c>
      <c r="J42" s="21" t="n">
        <f aca="false">G42*INDEX(Assumptions!$D$5:$D$7,MATCH($F42,Assumptions!$A$5:$A$7,0))</f>
        <v>85</v>
      </c>
      <c r="K42" s="21" t="n">
        <f aca="false">H42*INDEX(Assumptions!$D$5:$D$7,MATCH($F42,Assumptions!$A$5:$A$7,0))</f>
        <v>95</v>
      </c>
      <c r="L42" s="21" t="n">
        <f aca="false">I42*INDEX(Assumptions!$D$5:$D$7,MATCH($F42,Assumptions!$A$5:$A$7,0))</f>
        <v>140</v>
      </c>
      <c r="M42" s="21" t="n">
        <f aca="false">G42*INDEX(Assumptions!$E$5:$E$7,MATCH($F42,Assumptions!$A$5:$A$7,0))</f>
        <v>102</v>
      </c>
      <c r="N42" s="21" t="n">
        <f aca="false">H42*INDEX(Assumptions!$E$5:$E$7,MATCH($F42,Assumptions!$A$5:$A$7,0))</f>
        <v>114</v>
      </c>
      <c r="O42" s="21" t="n">
        <f aca="false">I42*INDEX(Assumptions!$E$5:$E$7,MATCH($F42,Assumptions!$A$5:$A$7,0))</f>
        <v>168</v>
      </c>
      <c r="P42" s="20"/>
      <c r="Q42" s="22" t="n">
        <v>1</v>
      </c>
      <c r="R42" s="22" t="n">
        <v>3</v>
      </c>
      <c r="S42" s="22" t="n">
        <v>7</v>
      </c>
      <c r="T42" s="22" t="n">
        <v>10</v>
      </c>
      <c r="U42" s="19" t="s">
        <v>88</v>
      </c>
      <c r="V42" s="8" t="s">
        <v>178</v>
      </c>
      <c r="W42" s="18" t="s">
        <v>100</v>
      </c>
    </row>
    <row r="43" customFormat="false" ht="39.55" hidden="false" customHeight="false" outlineLevel="0" collapsed="false">
      <c r="A43" s="18" t="s">
        <v>198</v>
      </c>
      <c r="B43" s="18" t="s">
        <v>175</v>
      </c>
      <c r="C43" s="18" t="s">
        <v>199</v>
      </c>
      <c r="D43" s="18" t="s">
        <v>182</v>
      </c>
      <c r="E43" s="8" t="s">
        <v>193</v>
      </c>
      <c r="F43" s="19" t="s">
        <v>26</v>
      </c>
      <c r="G43" s="20" t="n">
        <v>140</v>
      </c>
      <c r="H43" s="20" t="n">
        <v>180</v>
      </c>
      <c r="I43" s="20" t="n">
        <v>250</v>
      </c>
      <c r="J43" s="21" t="n">
        <f aca="false">G43*INDEX(Assumptions!$D$5:$D$7,MATCH($F43,Assumptions!$A$5:$A$7,0))</f>
        <v>140</v>
      </c>
      <c r="K43" s="21" t="n">
        <f aca="false">H43*INDEX(Assumptions!$D$5:$D$7,MATCH($F43,Assumptions!$A$5:$A$7,0))</f>
        <v>180</v>
      </c>
      <c r="L43" s="21" t="n">
        <f aca="false">I43*INDEX(Assumptions!$D$5:$D$7,MATCH($F43,Assumptions!$A$5:$A$7,0))</f>
        <v>250</v>
      </c>
      <c r="M43" s="21" t="n">
        <f aca="false">G43*INDEX(Assumptions!$E$5:$E$7,MATCH($F43,Assumptions!$A$5:$A$7,0))</f>
        <v>168</v>
      </c>
      <c r="N43" s="21" t="n">
        <f aca="false">H43*INDEX(Assumptions!$E$5:$E$7,MATCH($F43,Assumptions!$A$5:$A$7,0))</f>
        <v>216</v>
      </c>
      <c r="O43" s="21" t="n">
        <f aca="false">I43*INDEX(Assumptions!$E$5:$E$7,MATCH($F43,Assumptions!$A$5:$A$7,0))</f>
        <v>300</v>
      </c>
      <c r="P43" s="20"/>
      <c r="Q43" s="22" t="n">
        <v>1</v>
      </c>
      <c r="R43" s="22" t="n">
        <v>5</v>
      </c>
      <c r="S43" s="22" t="n">
        <v>7</v>
      </c>
      <c r="T43" s="22" t="n">
        <v>15</v>
      </c>
      <c r="U43" s="19" t="s">
        <v>88</v>
      </c>
      <c r="V43" s="8" t="s">
        <v>178</v>
      </c>
      <c r="W43" s="18" t="s">
        <v>100</v>
      </c>
    </row>
    <row r="44" customFormat="false" ht="39.55" hidden="false" customHeight="false" outlineLevel="0" collapsed="false">
      <c r="A44" s="18" t="s">
        <v>200</v>
      </c>
      <c r="B44" s="18" t="s">
        <v>175</v>
      </c>
      <c r="C44" s="18" t="s">
        <v>201</v>
      </c>
      <c r="D44" s="18" t="s">
        <v>182</v>
      </c>
      <c r="E44" s="8" t="s">
        <v>202</v>
      </c>
      <c r="F44" s="19" t="s">
        <v>26</v>
      </c>
      <c r="G44" s="20" t="n">
        <v>40</v>
      </c>
      <c r="H44" s="20" t="n">
        <v>55</v>
      </c>
      <c r="I44" s="20" t="n">
        <v>75</v>
      </c>
      <c r="J44" s="21" t="n">
        <f aca="false">G44*INDEX(Assumptions!$D$5:$D$7,MATCH($F44,Assumptions!$A$5:$A$7,0))</f>
        <v>40</v>
      </c>
      <c r="K44" s="21" t="n">
        <f aca="false">H44*INDEX(Assumptions!$D$5:$D$7,MATCH($F44,Assumptions!$A$5:$A$7,0))</f>
        <v>55</v>
      </c>
      <c r="L44" s="21" t="n">
        <f aca="false">I44*INDEX(Assumptions!$D$5:$D$7,MATCH($F44,Assumptions!$A$5:$A$7,0))</f>
        <v>75</v>
      </c>
      <c r="M44" s="21" t="n">
        <f aca="false">G44*INDEX(Assumptions!$E$5:$E$7,MATCH($F44,Assumptions!$A$5:$A$7,0))</f>
        <v>48</v>
      </c>
      <c r="N44" s="21" t="n">
        <f aca="false">H44*INDEX(Assumptions!$E$5:$E$7,MATCH($F44,Assumptions!$A$5:$A$7,0))</f>
        <v>66</v>
      </c>
      <c r="O44" s="21" t="n">
        <f aca="false">I44*INDEX(Assumptions!$E$5:$E$7,MATCH($F44,Assumptions!$A$5:$A$7,0))</f>
        <v>90</v>
      </c>
      <c r="P44" s="20" t="n">
        <v>15</v>
      </c>
      <c r="Q44" s="22" t="n">
        <v>1</v>
      </c>
      <c r="R44" s="22" t="n">
        <v>3</v>
      </c>
      <c r="S44" s="22" t="n">
        <v>7</v>
      </c>
      <c r="T44" s="22" t="n">
        <v>15</v>
      </c>
      <c r="U44" s="19" t="s">
        <v>88</v>
      </c>
      <c r="V44" s="8" t="s">
        <v>178</v>
      </c>
      <c r="W44" s="18" t="s">
        <v>203</v>
      </c>
    </row>
    <row r="45" customFormat="false" ht="39.55" hidden="false" customHeight="false" outlineLevel="0" collapsed="false">
      <c r="A45" s="18" t="s">
        <v>204</v>
      </c>
      <c r="B45" s="18" t="s">
        <v>175</v>
      </c>
      <c r="C45" s="18" t="s">
        <v>205</v>
      </c>
      <c r="D45" s="18" t="s">
        <v>206</v>
      </c>
      <c r="E45" s="8" t="s">
        <v>207</v>
      </c>
      <c r="F45" s="19" t="s">
        <v>29</v>
      </c>
      <c r="G45" s="20" t="n">
        <v>8</v>
      </c>
      <c r="H45" s="20" t="n">
        <v>10</v>
      </c>
      <c r="I45" s="20" t="n">
        <v>15</v>
      </c>
      <c r="J45" s="21" t="n">
        <f aca="false">G45*INDEX(Assumptions!$D$5:$D$7,MATCH($F45,Assumptions!$A$5:$A$7,0))</f>
        <v>9.2</v>
      </c>
      <c r="K45" s="21" t="n">
        <f aca="false">H45*INDEX(Assumptions!$D$5:$D$7,MATCH($F45,Assumptions!$A$5:$A$7,0))</f>
        <v>11.5</v>
      </c>
      <c r="L45" s="21" t="n">
        <f aca="false">I45*INDEX(Assumptions!$D$5:$D$7,MATCH($F45,Assumptions!$A$5:$A$7,0))</f>
        <v>17.25</v>
      </c>
      <c r="M45" s="21" t="n">
        <f aca="false">G45*INDEX(Assumptions!$E$5:$E$7,MATCH($F45,Assumptions!$A$5:$A$7,0))</f>
        <v>16</v>
      </c>
      <c r="N45" s="21" t="n">
        <f aca="false">H45*INDEX(Assumptions!$E$5:$E$7,MATCH($F45,Assumptions!$A$5:$A$7,0))</f>
        <v>20</v>
      </c>
      <c r="O45" s="21" t="n">
        <f aca="false">I45*INDEX(Assumptions!$E$5:$E$7,MATCH($F45,Assumptions!$A$5:$A$7,0))</f>
        <v>30</v>
      </c>
      <c r="P45" s="20"/>
      <c r="Q45" s="22" t="n">
        <v>2</v>
      </c>
      <c r="R45" s="22" t="n">
        <v>5</v>
      </c>
      <c r="S45" s="22" t="n">
        <v>7</v>
      </c>
      <c r="T45" s="22" t="n">
        <v>15</v>
      </c>
      <c r="U45" s="19" t="s">
        <v>88</v>
      </c>
      <c r="V45" s="8" t="s">
        <v>178</v>
      </c>
      <c r="W45" s="18" t="s">
        <v>100</v>
      </c>
    </row>
    <row r="46" customFormat="false" ht="39.55" hidden="false" customHeight="false" outlineLevel="0" collapsed="false">
      <c r="A46" s="18" t="s">
        <v>208</v>
      </c>
      <c r="B46" s="18" t="s">
        <v>175</v>
      </c>
      <c r="C46" s="18" t="s">
        <v>209</v>
      </c>
      <c r="D46" s="18" t="s">
        <v>182</v>
      </c>
      <c r="E46" s="8" t="s">
        <v>177</v>
      </c>
      <c r="F46" s="19" t="s">
        <v>26</v>
      </c>
      <c r="G46" s="20" t="n">
        <v>6</v>
      </c>
      <c r="H46" s="20" t="n">
        <v>15</v>
      </c>
      <c r="I46" s="20" t="n">
        <v>25</v>
      </c>
      <c r="J46" s="21" t="n">
        <f aca="false">G46*INDEX(Assumptions!$D$5:$D$7,MATCH($F46,Assumptions!$A$5:$A$7,0))</f>
        <v>6</v>
      </c>
      <c r="K46" s="21" t="n">
        <f aca="false">H46*INDEX(Assumptions!$D$5:$D$7,MATCH($F46,Assumptions!$A$5:$A$7,0))</f>
        <v>15</v>
      </c>
      <c r="L46" s="21" t="n">
        <f aca="false">I46*INDEX(Assumptions!$D$5:$D$7,MATCH($F46,Assumptions!$A$5:$A$7,0))</f>
        <v>25</v>
      </c>
      <c r="M46" s="21" t="n">
        <f aca="false">G46*INDEX(Assumptions!$E$5:$E$7,MATCH($F46,Assumptions!$A$5:$A$7,0))</f>
        <v>7.2</v>
      </c>
      <c r="N46" s="21" t="n">
        <f aca="false">H46*INDEX(Assumptions!$E$5:$E$7,MATCH($F46,Assumptions!$A$5:$A$7,0))</f>
        <v>18</v>
      </c>
      <c r="O46" s="21" t="n">
        <f aca="false">I46*INDEX(Assumptions!$E$5:$E$7,MATCH($F46,Assumptions!$A$5:$A$7,0))</f>
        <v>30</v>
      </c>
      <c r="P46" s="20"/>
      <c r="Q46" s="22" t="n">
        <v>0</v>
      </c>
      <c r="R46" s="22" t="n">
        <v>1</v>
      </c>
      <c r="S46" s="22" t="n">
        <v>3</v>
      </c>
      <c r="T46" s="22" t="n">
        <v>7</v>
      </c>
      <c r="U46" s="19" t="s">
        <v>75</v>
      </c>
      <c r="V46" s="8" t="s">
        <v>178</v>
      </c>
      <c r="W46" s="18" t="s">
        <v>100</v>
      </c>
    </row>
    <row r="47" customFormat="false" ht="26.85" hidden="false" customHeight="false" outlineLevel="0" collapsed="false">
      <c r="A47" s="18" t="s">
        <v>210</v>
      </c>
      <c r="B47" s="18" t="s">
        <v>211</v>
      </c>
      <c r="C47" s="18" t="s">
        <v>212</v>
      </c>
      <c r="D47" s="18" t="s">
        <v>213</v>
      </c>
      <c r="E47" s="8" t="s">
        <v>214</v>
      </c>
      <c r="F47" s="19" t="s">
        <v>29</v>
      </c>
      <c r="G47" s="20" t="n">
        <v>20</v>
      </c>
      <c r="H47" s="20" t="n">
        <v>25</v>
      </c>
      <c r="I47" s="20" t="n">
        <v>65</v>
      </c>
      <c r="J47" s="21" t="n">
        <f aca="false">G47*INDEX(Assumptions!$D$5:$D$7,MATCH($F47,Assumptions!$A$5:$A$7,0))</f>
        <v>23</v>
      </c>
      <c r="K47" s="21" t="n">
        <f aca="false">H47*INDEX(Assumptions!$D$5:$D$7,MATCH($F47,Assumptions!$A$5:$A$7,0))</f>
        <v>28.75</v>
      </c>
      <c r="L47" s="21" t="n">
        <f aca="false">I47*INDEX(Assumptions!$D$5:$D$7,MATCH($F47,Assumptions!$A$5:$A$7,0))</f>
        <v>74.75</v>
      </c>
      <c r="M47" s="21" t="n">
        <f aca="false">G47*INDEX(Assumptions!$E$5:$E$7,MATCH($F47,Assumptions!$A$5:$A$7,0))</f>
        <v>40</v>
      </c>
      <c r="N47" s="21" t="n">
        <f aca="false">H47*INDEX(Assumptions!$E$5:$E$7,MATCH($F47,Assumptions!$A$5:$A$7,0))</f>
        <v>50</v>
      </c>
      <c r="O47" s="21" t="n">
        <f aca="false">I47*INDEX(Assumptions!$E$5:$E$7,MATCH($F47,Assumptions!$A$5:$A$7,0))</f>
        <v>130</v>
      </c>
      <c r="P47" s="20"/>
      <c r="Q47" s="22" t="n">
        <v>0</v>
      </c>
      <c r="R47" s="22" t="n">
        <v>1</v>
      </c>
      <c r="S47" s="22" t="n">
        <v>3</v>
      </c>
      <c r="T47" s="22" t="n">
        <v>7</v>
      </c>
      <c r="U47" s="19" t="s">
        <v>75</v>
      </c>
      <c r="V47" s="8" t="s">
        <v>215</v>
      </c>
      <c r="W47" s="18" t="s">
        <v>216</v>
      </c>
    </row>
    <row r="48" customFormat="false" ht="26.85" hidden="false" customHeight="false" outlineLevel="0" collapsed="false">
      <c r="A48" s="18" t="s">
        <v>217</v>
      </c>
      <c r="B48" s="18" t="s">
        <v>211</v>
      </c>
      <c r="C48" s="18" t="s">
        <v>218</v>
      </c>
      <c r="D48" s="18" t="s">
        <v>213</v>
      </c>
      <c r="E48" s="8" t="s">
        <v>219</v>
      </c>
      <c r="F48" s="19" t="s">
        <v>29</v>
      </c>
      <c r="G48" s="20" t="n">
        <v>25</v>
      </c>
      <c r="H48" s="20" t="n">
        <v>40</v>
      </c>
      <c r="I48" s="20" t="n">
        <v>75</v>
      </c>
      <c r="J48" s="21" t="n">
        <f aca="false">G48*INDEX(Assumptions!$D$5:$D$7,MATCH($F48,Assumptions!$A$5:$A$7,0))</f>
        <v>28.75</v>
      </c>
      <c r="K48" s="21" t="n">
        <f aca="false">H48*INDEX(Assumptions!$D$5:$D$7,MATCH($F48,Assumptions!$A$5:$A$7,0))</f>
        <v>46</v>
      </c>
      <c r="L48" s="21" t="n">
        <f aca="false">I48*INDEX(Assumptions!$D$5:$D$7,MATCH($F48,Assumptions!$A$5:$A$7,0))</f>
        <v>86.25</v>
      </c>
      <c r="M48" s="21" t="n">
        <f aca="false">G48*INDEX(Assumptions!$E$5:$E$7,MATCH($F48,Assumptions!$A$5:$A$7,0))</f>
        <v>50</v>
      </c>
      <c r="N48" s="21" t="n">
        <f aca="false">H48*INDEX(Assumptions!$E$5:$E$7,MATCH($F48,Assumptions!$A$5:$A$7,0))</f>
        <v>80</v>
      </c>
      <c r="O48" s="21" t="n">
        <f aca="false">I48*INDEX(Assumptions!$E$5:$E$7,MATCH($F48,Assumptions!$A$5:$A$7,0))</f>
        <v>150</v>
      </c>
      <c r="P48" s="20"/>
      <c r="Q48" s="22" t="n">
        <v>0</v>
      </c>
      <c r="R48" s="22" t="n">
        <v>2</v>
      </c>
      <c r="S48" s="22" t="n">
        <v>5</v>
      </c>
      <c r="T48" s="22" t="n">
        <v>7</v>
      </c>
      <c r="U48" s="19" t="s">
        <v>75</v>
      </c>
      <c r="V48" s="8" t="s">
        <v>215</v>
      </c>
      <c r="W48" s="18" t="s">
        <v>100</v>
      </c>
    </row>
    <row r="49" customFormat="false" ht="26.85" hidden="false" customHeight="false" outlineLevel="0" collapsed="false">
      <c r="A49" s="18" t="s">
        <v>220</v>
      </c>
      <c r="B49" s="18" t="s">
        <v>211</v>
      </c>
      <c r="C49" s="18" t="s">
        <v>221</v>
      </c>
      <c r="D49" s="18" t="s">
        <v>213</v>
      </c>
      <c r="E49" s="8" t="s">
        <v>222</v>
      </c>
      <c r="F49" s="19" t="s">
        <v>29</v>
      </c>
      <c r="G49" s="20" t="n">
        <v>75</v>
      </c>
      <c r="H49" s="20" t="n">
        <v>100</v>
      </c>
      <c r="I49" s="20" t="n">
        <v>200</v>
      </c>
      <c r="J49" s="21" t="n">
        <f aca="false">G49*INDEX(Assumptions!$D$5:$D$7,MATCH($F49,Assumptions!$A$5:$A$7,0))</f>
        <v>86.25</v>
      </c>
      <c r="K49" s="21" t="n">
        <f aca="false">H49*INDEX(Assumptions!$D$5:$D$7,MATCH($F49,Assumptions!$A$5:$A$7,0))</f>
        <v>115</v>
      </c>
      <c r="L49" s="21" t="n">
        <f aca="false">I49*INDEX(Assumptions!$D$5:$D$7,MATCH($F49,Assumptions!$A$5:$A$7,0))</f>
        <v>230</v>
      </c>
      <c r="M49" s="21" t="n">
        <f aca="false">G49*INDEX(Assumptions!$E$5:$E$7,MATCH($F49,Assumptions!$A$5:$A$7,0))</f>
        <v>150</v>
      </c>
      <c r="N49" s="21" t="n">
        <f aca="false">H49*INDEX(Assumptions!$E$5:$E$7,MATCH($F49,Assumptions!$A$5:$A$7,0))</f>
        <v>200</v>
      </c>
      <c r="O49" s="21" t="n">
        <f aca="false">I49*INDEX(Assumptions!$E$5:$E$7,MATCH($F49,Assumptions!$A$5:$A$7,0))</f>
        <v>400</v>
      </c>
      <c r="P49" s="20"/>
      <c r="Q49" s="22" t="n">
        <v>2</v>
      </c>
      <c r="R49" s="22" t="n">
        <v>5</v>
      </c>
      <c r="S49" s="22" t="n">
        <v>7</v>
      </c>
      <c r="T49" s="22" t="n">
        <v>15</v>
      </c>
      <c r="U49" s="19" t="s">
        <v>88</v>
      </c>
      <c r="V49" s="8" t="s">
        <v>215</v>
      </c>
      <c r="W49" s="18" t="s">
        <v>92</v>
      </c>
    </row>
    <row r="50" customFormat="false" ht="26.85" hidden="false" customHeight="false" outlineLevel="0" collapsed="false">
      <c r="A50" s="18" t="s">
        <v>223</v>
      </c>
      <c r="B50" s="18" t="s">
        <v>211</v>
      </c>
      <c r="C50" s="18" t="s">
        <v>224</v>
      </c>
      <c r="D50" s="18" t="s">
        <v>225</v>
      </c>
      <c r="E50" s="8" t="s">
        <v>226</v>
      </c>
      <c r="F50" s="19" t="s">
        <v>29</v>
      </c>
      <c r="G50" s="20" t="n">
        <v>20</v>
      </c>
      <c r="H50" s="20" t="n">
        <v>30</v>
      </c>
      <c r="I50" s="20" t="n">
        <v>50</v>
      </c>
      <c r="J50" s="21" t="n">
        <f aca="false">G50*INDEX(Assumptions!$D$5:$D$7,MATCH($F50,Assumptions!$A$5:$A$7,0))</f>
        <v>23</v>
      </c>
      <c r="K50" s="21" t="n">
        <f aca="false">H50*INDEX(Assumptions!$D$5:$D$7,MATCH($F50,Assumptions!$A$5:$A$7,0))</f>
        <v>34.5</v>
      </c>
      <c r="L50" s="21" t="n">
        <f aca="false">I50*INDEX(Assumptions!$D$5:$D$7,MATCH($F50,Assumptions!$A$5:$A$7,0))</f>
        <v>57.5</v>
      </c>
      <c r="M50" s="21" t="n">
        <f aca="false">G50*INDEX(Assumptions!$E$5:$E$7,MATCH($F50,Assumptions!$A$5:$A$7,0))</f>
        <v>40</v>
      </c>
      <c r="N50" s="21" t="n">
        <f aca="false">H50*INDEX(Assumptions!$E$5:$E$7,MATCH($F50,Assumptions!$A$5:$A$7,0))</f>
        <v>60</v>
      </c>
      <c r="O50" s="21" t="n">
        <f aca="false">I50*INDEX(Assumptions!$E$5:$E$7,MATCH($F50,Assumptions!$A$5:$A$7,0))</f>
        <v>100</v>
      </c>
      <c r="P50" s="20"/>
      <c r="Q50" s="22" t="n">
        <v>0</v>
      </c>
      <c r="R50" s="22" t="n">
        <v>1</v>
      </c>
      <c r="S50" s="22" t="n">
        <v>3</v>
      </c>
      <c r="T50" s="22" t="n">
        <v>7</v>
      </c>
      <c r="U50" s="19" t="s">
        <v>75</v>
      </c>
      <c r="V50" s="8" t="s">
        <v>215</v>
      </c>
      <c r="W50" s="18" t="s">
        <v>100</v>
      </c>
    </row>
    <row r="51" customFormat="false" ht="26.85" hidden="false" customHeight="false" outlineLevel="0" collapsed="false">
      <c r="A51" s="18" t="s">
        <v>227</v>
      </c>
      <c r="B51" s="18" t="s">
        <v>211</v>
      </c>
      <c r="C51" s="18" t="s">
        <v>228</v>
      </c>
      <c r="D51" s="18" t="s">
        <v>225</v>
      </c>
      <c r="E51" s="8" t="s">
        <v>229</v>
      </c>
      <c r="F51" s="19" t="s">
        <v>29</v>
      </c>
      <c r="G51" s="20" t="n">
        <v>45</v>
      </c>
      <c r="H51" s="20" t="n">
        <v>60</v>
      </c>
      <c r="I51" s="20" t="n">
        <v>150</v>
      </c>
      <c r="J51" s="21" t="n">
        <f aca="false">G51*INDEX(Assumptions!$D$5:$D$7,MATCH($F51,Assumptions!$A$5:$A$7,0))</f>
        <v>51.75</v>
      </c>
      <c r="K51" s="21" t="n">
        <f aca="false">H51*INDEX(Assumptions!$D$5:$D$7,MATCH($F51,Assumptions!$A$5:$A$7,0))</f>
        <v>69</v>
      </c>
      <c r="L51" s="21" t="n">
        <f aca="false">I51*INDEX(Assumptions!$D$5:$D$7,MATCH($F51,Assumptions!$A$5:$A$7,0))</f>
        <v>172.5</v>
      </c>
      <c r="M51" s="21" t="n">
        <f aca="false">G51*INDEX(Assumptions!$E$5:$E$7,MATCH($F51,Assumptions!$A$5:$A$7,0))</f>
        <v>90</v>
      </c>
      <c r="N51" s="21" t="n">
        <f aca="false">H51*INDEX(Assumptions!$E$5:$E$7,MATCH($F51,Assumptions!$A$5:$A$7,0))</f>
        <v>120</v>
      </c>
      <c r="O51" s="21" t="n">
        <f aca="false">I51*INDEX(Assumptions!$E$5:$E$7,MATCH($F51,Assumptions!$A$5:$A$7,0))</f>
        <v>300</v>
      </c>
      <c r="P51" s="20"/>
      <c r="Q51" s="22" t="n">
        <v>0</v>
      </c>
      <c r="R51" s="22" t="n">
        <v>1</v>
      </c>
      <c r="S51" s="22" t="n">
        <v>3</v>
      </c>
      <c r="T51" s="22" t="n">
        <v>7</v>
      </c>
      <c r="U51" s="19" t="s">
        <v>75</v>
      </c>
      <c r="V51" s="8" t="s">
        <v>215</v>
      </c>
      <c r="W51" s="18" t="s">
        <v>85</v>
      </c>
    </row>
    <row r="52" customFormat="false" ht="26.85" hidden="false" customHeight="false" outlineLevel="0" collapsed="false">
      <c r="A52" s="18" t="s">
        <v>230</v>
      </c>
      <c r="B52" s="18" t="s">
        <v>211</v>
      </c>
      <c r="C52" s="18" t="s">
        <v>231</v>
      </c>
      <c r="D52" s="18" t="s">
        <v>225</v>
      </c>
      <c r="E52" s="8" t="s">
        <v>229</v>
      </c>
      <c r="F52" s="19" t="s">
        <v>29</v>
      </c>
      <c r="G52" s="20" t="n">
        <v>60</v>
      </c>
      <c r="H52" s="20" t="n">
        <v>80</v>
      </c>
      <c r="I52" s="20" t="n">
        <v>160</v>
      </c>
      <c r="J52" s="21" t="n">
        <f aca="false">G52*INDEX(Assumptions!$D$5:$D$7,MATCH($F52,Assumptions!$A$5:$A$7,0))</f>
        <v>69</v>
      </c>
      <c r="K52" s="21" t="n">
        <f aca="false">H52*INDEX(Assumptions!$D$5:$D$7,MATCH($F52,Assumptions!$A$5:$A$7,0))</f>
        <v>92</v>
      </c>
      <c r="L52" s="21" t="n">
        <f aca="false">I52*INDEX(Assumptions!$D$5:$D$7,MATCH($F52,Assumptions!$A$5:$A$7,0))</f>
        <v>184</v>
      </c>
      <c r="M52" s="21" t="n">
        <f aca="false">G52*INDEX(Assumptions!$E$5:$E$7,MATCH($F52,Assumptions!$A$5:$A$7,0))</f>
        <v>120</v>
      </c>
      <c r="N52" s="21" t="n">
        <f aca="false">H52*INDEX(Assumptions!$E$5:$E$7,MATCH($F52,Assumptions!$A$5:$A$7,0))</f>
        <v>160</v>
      </c>
      <c r="O52" s="21" t="n">
        <f aca="false">I52*INDEX(Assumptions!$E$5:$E$7,MATCH($F52,Assumptions!$A$5:$A$7,0))</f>
        <v>320</v>
      </c>
      <c r="P52" s="20"/>
      <c r="Q52" s="22" t="n">
        <v>0</v>
      </c>
      <c r="R52" s="22" t="n">
        <v>1</v>
      </c>
      <c r="S52" s="22" t="n">
        <v>3</v>
      </c>
      <c r="T52" s="22" t="n">
        <v>7</v>
      </c>
      <c r="U52" s="19" t="s">
        <v>75</v>
      </c>
      <c r="V52" s="8" t="s">
        <v>215</v>
      </c>
      <c r="W52" s="18" t="s">
        <v>85</v>
      </c>
    </row>
    <row r="53" customFormat="false" ht="26.85" hidden="false" customHeight="false" outlineLevel="0" collapsed="false">
      <c r="A53" s="18" t="s">
        <v>232</v>
      </c>
      <c r="B53" s="18" t="s">
        <v>211</v>
      </c>
      <c r="C53" s="18" t="s">
        <v>233</v>
      </c>
      <c r="D53" s="18" t="s">
        <v>225</v>
      </c>
      <c r="E53" s="8" t="s">
        <v>234</v>
      </c>
      <c r="F53" s="19" t="s">
        <v>29</v>
      </c>
      <c r="G53" s="20" t="n">
        <v>50</v>
      </c>
      <c r="H53" s="20" t="n">
        <v>75</v>
      </c>
      <c r="I53" s="20" t="n">
        <v>150</v>
      </c>
      <c r="J53" s="21" t="n">
        <f aca="false">G53*INDEX(Assumptions!$D$5:$D$7,MATCH($F53,Assumptions!$A$5:$A$7,0))</f>
        <v>57.5</v>
      </c>
      <c r="K53" s="21" t="n">
        <f aca="false">H53*INDEX(Assumptions!$D$5:$D$7,MATCH($F53,Assumptions!$A$5:$A$7,0))</f>
        <v>86.25</v>
      </c>
      <c r="L53" s="21" t="n">
        <f aca="false">I53*INDEX(Assumptions!$D$5:$D$7,MATCH($F53,Assumptions!$A$5:$A$7,0))</f>
        <v>172.5</v>
      </c>
      <c r="M53" s="21" t="n">
        <f aca="false">G53*INDEX(Assumptions!$E$5:$E$7,MATCH($F53,Assumptions!$A$5:$A$7,0))</f>
        <v>100</v>
      </c>
      <c r="N53" s="21" t="n">
        <f aca="false">H53*INDEX(Assumptions!$E$5:$E$7,MATCH($F53,Assumptions!$A$5:$A$7,0))</f>
        <v>150</v>
      </c>
      <c r="O53" s="21" t="n">
        <f aca="false">I53*INDEX(Assumptions!$E$5:$E$7,MATCH($F53,Assumptions!$A$5:$A$7,0))</f>
        <v>300</v>
      </c>
      <c r="P53" s="20"/>
      <c r="Q53" s="22" t="n">
        <v>1</v>
      </c>
      <c r="R53" s="22" t="n">
        <v>3</v>
      </c>
      <c r="S53" s="22" t="n">
        <v>5</v>
      </c>
      <c r="T53" s="22" t="n">
        <v>10</v>
      </c>
      <c r="U53" s="19" t="s">
        <v>88</v>
      </c>
      <c r="V53" s="8" t="s">
        <v>215</v>
      </c>
      <c r="W53" s="18" t="s">
        <v>92</v>
      </c>
    </row>
    <row r="54" customFormat="false" ht="26.85" hidden="false" customHeight="false" outlineLevel="0" collapsed="false">
      <c r="A54" s="18" t="s">
        <v>235</v>
      </c>
      <c r="B54" s="18" t="s">
        <v>211</v>
      </c>
      <c r="C54" s="18" t="s">
        <v>236</v>
      </c>
      <c r="D54" s="18" t="s">
        <v>73</v>
      </c>
      <c r="E54" s="8" t="s">
        <v>237</v>
      </c>
      <c r="F54" s="19" t="s">
        <v>29</v>
      </c>
      <c r="G54" s="20" t="n">
        <v>20</v>
      </c>
      <c r="H54" s="20" t="n">
        <v>22</v>
      </c>
      <c r="I54" s="20" t="n">
        <v>35</v>
      </c>
      <c r="J54" s="21" t="n">
        <f aca="false">G54*INDEX(Assumptions!$D$5:$D$7,MATCH($F54,Assumptions!$A$5:$A$7,0))</f>
        <v>23</v>
      </c>
      <c r="K54" s="21" t="n">
        <f aca="false">H54*INDEX(Assumptions!$D$5:$D$7,MATCH($F54,Assumptions!$A$5:$A$7,0))</f>
        <v>25.3</v>
      </c>
      <c r="L54" s="21" t="n">
        <f aca="false">I54*INDEX(Assumptions!$D$5:$D$7,MATCH($F54,Assumptions!$A$5:$A$7,0))</f>
        <v>40.25</v>
      </c>
      <c r="M54" s="21" t="n">
        <f aca="false">G54*INDEX(Assumptions!$E$5:$E$7,MATCH($F54,Assumptions!$A$5:$A$7,0))</f>
        <v>40</v>
      </c>
      <c r="N54" s="21" t="n">
        <f aca="false">H54*INDEX(Assumptions!$E$5:$E$7,MATCH($F54,Assumptions!$A$5:$A$7,0))</f>
        <v>44</v>
      </c>
      <c r="O54" s="21" t="n">
        <f aca="false">I54*INDEX(Assumptions!$E$5:$E$7,MATCH($F54,Assumptions!$A$5:$A$7,0))</f>
        <v>70</v>
      </c>
      <c r="P54" s="20"/>
      <c r="Q54" s="22" t="n">
        <v>0</v>
      </c>
      <c r="R54" s="22" t="n">
        <v>1</v>
      </c>
      <c r="S54" s="22" t="n">
        <v>3</v>
      </c>
      <c r="T54" s="22" t="n">
        <v>7</v>
      </c>
      <c r="U54" s="19" t="s">
        <v>75</v>
      </c>
      <c r="V54" s="8" t="s">
        <v>215</v>
      </c>
      <c r="W54" s="18" t="s">
        <v>100</v>
      </c>
    </row>
    <row r="55" customFormat="false" ht="26.85" hidden="false" customHeight="false" outlineLevel="0" collapsed="false">
      <c r="A55" s="18" t="s">
        <v>238</v>
      </c>
      <c r="B55" s="18" t="s">
        <v>211</v>
      </c>
      <c r="C55" s="18" t="s">
        <v>239</v>
      </c>
      <c r="D55" s="18" t="s">
        <v>240</v>
      </c>
      <c r="E55" s="8" t="s">
        <v>241</v>
      </c>
      <c r="F55" s="19" t="s">
        <v>29</v>
      </c>
      <c r="G55" s="20" t="n">
        <v>60</v>
      </c>
      <c r="H55" s="20" t="n">
        <v>80</v>
      </c>
      <c r="I55" s="20" t="n">
        <v>120</v>
      </c>
      <c r="J55" s="21" t="n">
        <f aca="false">G55*INDEX(Assumptions!$D$5:$D$7,MATCH($F55,Assumptions!$A$5:$A$7,0))</f>
        <v>69</v>
      </c>
      <c r="K55" s="21" t="n">
        <f aca="false">H55*INDEX(Assumptions!$D$5:$D$7,MATCH($F55,Assumptions!$A$5:$A$7,0))</f>
        <v>92</v>
      </c>
      <c r="L55" s="21" t="n">
        <f aca="false">I55*INDEX(Assumptions!$D$5:$D$7,MATCH($F55,Assumptions!$A$5:$A$7,0))</f>
        <v>138</v>
      </c>
      <c r="M55" s="21" t="n">
        <f aca="false">G55*INDEX(Assumptions!$E$5:$E$7,MATCH($F55,Assumptions!$A$5:$A$7,0))</f>
        <v>120</v>
      </c>
      <c r="N55" s="21" t="n">
        <f aca="false">H55*INDEX(Assumptions!$E$5:$E$7,MATCH($F55,Assumptions!$A$5:$A$7,0))</f>
        <v>160</v>
      </c>
      <c r="O55" s="21" t="n">
        <f aca="false">I55*INDEX(Assumptions!$E$5:$E$7,MATCH($F55,Assumptions!$A$5:$A$7,0))</f>
        <v>240</v>
      </c>
      <c r="P55" s="20"/>
      <c r="Q55" s="22" t="n">
        <v>0</v>
      </c>
      <c r="R55" s="22" t="n">
        <v>2</v>
      </c>
      <c r="S55" s="22" t="n">
        <v>5</v>
      </c>
      <c r="T55" s="22" t="n">
        <v>7</v>
      </c>
      <c r="U55" s="19" t="s">
        <v>75</v>
      </c>
      <c r="V55" s="8" t="s">
        <v>215</v>
      </c>
      <c r="W55" s="18" t="s">
        <v>100</v>
      </c>
    </row>
    <row r="56" customFormat="false" ht="26.85" hidden="false" customHeight="false" outlineLevel="0" collapsed="false">
      <c r="A56" s="18" t="s">
        <v>242</v>
      </c>
      <c r="B56" s="18" t="s">
        <v>211</v>
      </c>
      <c r="C56" s="18" t="s">
        <v>243</v>
      </c>
      <c r="D56" s="18" t="s">
        <v>240</v>
      </c>
      <c r="E56" s="8" t="s">
        <v>244</v>
      </c>
      <c r="F56" s="19" t="s">
        <v>29</v>
      </c>
      <c r="G56" s="20" t="n">
        <v>40</v>
      </c>
      <c r="H56" s="20" t="n">
        <v>45</v>
      </c>
      <c r="I56" s="20" t="n">
        <v>70</v>
      </c>
      <c r="J56" s="21" t="n">
        <f aca="false">G56*INDEX(Assumptions!$D$5:$D$7,MATCH($F56,Assumptions!$A$5:$A$7,0))</f>
        <v>46</v>
      </c>
      <c r="K56" s="21" t="n">
        <f aca="false">H56*INDEX(Assumptions!$D$5:$D$7,MATCH($F56,Assumptions!$A$5:$A$7,0))</f>
        <v>51.75</v>
      </c>
      <c r="L56" s="21" t="n">
        <f aca="false">I56*INDEX(Assumptions!$D$5:$D$7,MATCH($F56,Assumptions!$A$5:$A$7,0))</f>
        <v>80.5</v>
      </c>
      <c r="M56" s="21" t="n">
        <f aca="false">G56*INDEX(Assumptions!$E$5:$E$7,MATCH($F56,Assumptions!$A$5:$A$7,0))</f>
        <v>80</v>
      </c>
      <c r="N56" s="21" t="n">
        <f aca="false">H56*INDEX(Assumptions!$E$5:$E$7,MATCH($F56,Assumptions!$A$5:$A$7,0))</f>
        <v>90</v>
      </c>
      <c r="O56" s="21" t="n">
        <f aca="false">I56*INDEX(Assumptions!$E$5:$E$7,MATCH($F56,Assumptions!$A$5:$A$7,0))</f>
        <v>140</v>
      </c>
      <c r="P56" s="20"/>
      <c r="Q56" s="22" t="n">
        <v>0</v>
      </c>
      <c r="R56" s="22" t="n">
        <v>2</v>
      </c>
      <c r="S56" s="22" t="n">
        <v>5</v>
      </c>
      <c r="T56" s="22" t="n">
        <v>7</v>
      </c>
      <c r="U56" s="19" t="s">
        <v>75</v>
      </c>
      <c r="V56" s="8" t="s">
        <v>215</v>
      </c>
      <c r="W56" s="18" t="s">
        <v>100</v>
      </c>
    </row>
    <row r="57" customFormat="false" ht="26.85" hidden="false" customHeight="false" outlineLevel="0" collapsed="false">
      <c r="A57" s="18" t="s">
        <v>245</v>
      </c>
      <c r="B57" s="18" t="s">
        <v>211</v>
      </c>
      <c r="C57" s="18" t="s">
        <v>246</v>
      </c>
      <c r="D57" s="18" t="s">
        <v>225</v>
      </c>
      <c r="E57" s="8" t="s">
        <v>234</v>
      </c>
      <c r="F57" s="19" t="s">
        <v>26</v>
      </c>
      <c r="G57" s="20" t="n">
        <v>15</v>
      </c>
      <c r="H57" s="20" t="n">
        <v>20</v>
      </c>
      <c r="I57" s="20" t="n">
        <v>35</v>
      </c>
      <c r="J57" s="21" t="n">
        <f aca="false">G57*INDEX(Assumptions!$D$5:$D$7,MATCH($F57,Assumptions!$A$5:$A$7,0))</f>
        <v>15</v>
      </c>
      <c r="K57" s="21" t="n">
        <f aca="false">H57*INDEX(Assumptions!$D$5:$D$7,MATCH($F57,Assumptions!$A$5:$A$7,0))</f>
        <v>20</v>
      </c>
      <c r="L57" s="21" t="n">
        <f aca="false">I57*INDEX(Assumptions!$D$5:$D$7,MATCH($F57,Assumptions!$A$5:$A$7,0))</f>
        <v>35</v>
      </c>
      <c r="M57" s="21" t="n">
        <f aca="false">G57*INDEX(Assumptions!$E$5:$E$7,MATCH($F57,Assumptions!$A$5:$A$7,0))</f>
        <v>18</v>
      </c>
      <c r="N57" s="21" t="n">
        <f aca="false">H57*INDEX(Assumptions!$E$5:$E$7,MATCH($F57,Assumptions!$A$5:$A$7,0))</f>
        <v>24</v>
      </c>
      <c r="O57" s="21" t="n">
        <f aca="false">I57*INDEX(Assumptions!$E$5:$E$7,MATCH($F57,Assumptions!$A$5:$A$7,0))</f>
        <v>42</v>
      </c>
      <c r="P57" s="20"/>
      <c r="Q57" s="22" t="n">
        <v>0</v>
      </c>
      <c r="R57" s="22" t="n">
        <v>0</v>
      </c>
      <c r="S57" s="22" t="n">
        <v>3</v>
      </c>
      <c r="T57" s="22" t="n">
        <v>5</v>
      </c>
      <c r="U57" s="19" t="s">
        <v>75</v>
      </c>
      <c r="V57" s="8" t="s">
        <v>215</v>
      </c>
      <c r="W57" s="18" t="s">
        <v>100</v>
      </c>
    </row>
    <row r="58" customFormat="false" ht="26.85" hidden="false" customHeight="false" outlineLevel="0" collapsed="false">
      <c r="A58" s="18" t="s">
        <v>247</v>
      </c>
      <c r="B58" s="18" t="s">
        <v>211</v>
      </c>
      <c r="C58" s="18" t="s">
        <v>248</v>
      </c>
      <c r="D58" s="18" t="s">
        <v>240</v>
      </c>
      <c r="E58" s="8" t="s">
        <v>214</v>
      </c>
      <c r="F58" s="19" t="s">
        <v>29</v>
      </c>
      <c r="G58" s="20" t="n">
        <v>25</v>
      </c>
      <c r="H58" s="20" t="n">
        <v>35</v>
      </c>
      <c r="I58" s="20" t="n">
        <v>60</v>
      </c>
      <c r="J58" s="21" t="n">
        <f aca="false">G58*INDEX(Assumptions!$D$5:$D$7,MATCH($F58,Assumptions!$A$5:$A$7,0))</f>
        <v>28.75</v>
      </c>
      <c r="K58" s="21" t="n">
        <f aca="false">H58*INDEX(Assumptions!$D$5:$D$7,MATCH($F58,Assumptions!$A$5:$A$7,0))</f>
        <v>40.25</v>
      </c>
      <c r="L58" s="21" t="n">
        <f aca="false">I58*INDEX(Assumptions!$D$5:$D$7,MATCH($F58,Assumptions!$A$5:$A$7,0))</f>
        <v>69</v>
      </c>
      <c r="M58" s="21" t="n">
        <f aca="false">G58*INDEX(Assumptions!$E$5:$E$7,MATCH($F58,Assumptions!$A$5:$A$7,0))</f>
        <v>50</v>
      </c>
      <c r="N58" s="21" t="n">
        <f aca="false">H58*INDEX(Assumptions!$E$5:$E$7,MATCH($F58,Assumptions!$A$5:$A$7,0))</f>
        <v>70</v>
      </c>
      <c r="O58" s="21" t="n">
        <f aca="false">I58*INDEX(Assumptions!$E$5:$E$7,MATCH($F58,Assumptions!$A$5:$A$7,0))</f>
        <v>120</v>
      </c>
      <c r="P58" s="20"/>
      <c r="Q58" s="22" t="n">
        <v>0</v>
      </c>
      <c r="R58" s="22" t="n">
        <v>1</v>
      </c>
      <c r="S58" s="22" t="n">
        <v>3</v>
      </c>
      <c r="T58" s="22" t="n">
        <v>7</v>
      </c>
      <c r="U58" s="19" t="s">
        <v>75</v>
      </c>
      <c r="V58" s="8" t="s">
        <v>215</v>
      </c>
      <c r="W58" s="18" t="s">
        <v>85</v>
      </c>
    </row>
    <row r="59" customFormat="false" ht="26.85" hidden="false" customHeight="false" outlineLevel="0" collapsed="false">
      <c r="A59" s="18" t="s">
        <v>249</v>
      </c>
      <c r="B59" s="18" t="s">
        <v>211</v>
      </c>
      <c r="C59" s="18" t="s">
        <v>250</v>
      </c>
      <c r="D59" s="18" t="s">
        <v>251</v>
      </c>
      <c r="E59" s="8" t="s">
        <v>252</v>
      </c>
      <c r="F59" s="19" t="s">
        <v>29</v>
      </c>
      <c r="G59" s="20" t="n">
        <v>35</v>
      </c>
      <c r="H59" s="20" t="n">
        <v>40</v>
      </c>
      <c r="I59" s="20" t="n">
        <v>75</v>
      </c>
      <c r="J59" s="21" t="n">
        <f aca="false">G59*INDEX(Assumptions!$D$5:$D$7,MATCH($F59,Assumptions!$A$5:$A$7,0))</f>
        <v>40.25</v>
      </c>
      <c r="K59" s="21" t="n">
        <f aca="false">H59*INDEX(Assumptions!$D$5:$D$7,MATCH($F59,Assumptions!$A$5:$A$7,0))</f>
        <v>46</v>
      </c>
      <c r="L59" s="21" t="n">
        <f aca="false">I59*INDEX(Assumptions!$D$5:$D$7,MATCH($F59,Assumptions!$A$5:$A$7,0))</f>
        <v>86.25</v>
      </c>
      <c r="M59" s="21" t="n">
        <f aca="false">G59*INDEX(Assumptions!$E$5:$E$7,MATCH($F59,Assumptions!$A$5:$A$7,0))</f>
        <v>70</v>
      </c>
      <c r="N59" s="21" t="n">
        <f aca="false">H59*INDEX(Assumptions!$E$5:$E$7,MATCH($F59,Assumptions!$A$5:$A$7,0))</f>
        <v>80</v>
      </c>
      <c r="O59" s="21" t="n">
        <f aca="false">I59*INDEX(Assumptions!$E$5:$E$7,MATCH($F59,Assumptions!$A$5:$A$7,0))</f>
        <v>150</v>
      </c>
      <c r="P59" s="20"/>
      <c r="Q59" s="22" t="n">
        <v>1</v>
      </c>
      <c r="R59" s="22" t="n">
        <v>3</v>
      </c>
      <c r="S59" s="22" t="n">
        <v>5</v>
      </c>
      <c r="T59" s="22" t="n">
        <v>10</v>
      </c>
      <c r="U59" s="19" t="s">
        <v>88</v>
      </c>
      <c r="V59" s="8" t="s">
        <v>215</v>
      </c>
      <c r="W59" s="18" t="s">
        <v>100</v>
      </c>
    </row>
    <row r="60" customFormat="false" ht="26.85" hidden="false" customHeight="false" outlineLevel="0" collapsed="false">
      <c r="A60" s="18" t="s">
        <v>253</v>
      </c>
      <c r="B60" s="18" t="s">
        <v>254</v>
      </c>
      <c r="C60" s="18" t="s">
        <v>255</v>
      </c>
      <c r="D60" s="18" t="s">
        <v>256</v>
      </c>
      <c r="E60" s="8" t="s">
        <v>257</v>
      </c>
      <c r="F60" s="19" t="s">
        <v>29</v>
      </c>
      <c r="G60" s="20" t="n">
        <v>25</v>
      </c>
      <c r="H60" s="20" t="n">
        <v>40</v>
      </c>
      <c r="I60" s="20" t="n">
        <v>60</v>
      </c>
      <c r="J60" s="21" t="n">
        <f aca="false">G60*INDEX(Assumptions!$D$5:$D$7,MATCH($F60,Assumptions!$A$5:$A$7,0))</f>
        <v>28.75</v>
      </c>
      <c r="K60" s="21" t="n">
        <f aca="false">H60*INDEX(Assumptions!$D$5:$D$7,MATCH($F60,Assumptions!$A$5:$A$7,0))</f>
        <v>46</v>
      </c>
      <c r="L60" s="21" t="n">
        <f aca="false">I60*INDEX(Assumptions!$D$5:$D$7,MATCH($F60,Assumptions!$A$5:$A$7,0))</f>
        <v>69</v>
      </c>
      <c r="M60" s="21" t="n">
        <f aca="false">G60*INDEX(Assumptions!$E$5:$E$7,MATCH($F60,Assumptions!$A$5:$A$7,0))</f>
        <v>50</v>
      </c>
      <c r="N60" s="21" t="n">
        <f aca="false">H60*INDEX(Assumptions!$E$5:$E$7,MATCH($F60,Assumptions!$A$5:$A$7,0))</f>
        <v>80</v>
      </c>
      <c r="O60" s="21" t="n">
        <f aca="false">I60*INDEX(Assumptions!$E$5:$E$7,MATCH($F60,Assumptions!$A$5:$A$7,0))</f>
        <v>120</v>
      </c>
      <c r="P60" s="20"/>
      <c r="Q60" s="22" t="n">
        <v>0</v>
      </c>
      <c r="R60" s="22" t="n">
        <v>2</v>
      </c>
      <c r="S60" s="22" t="n">
        <v>5</v>
      </c>
      <c r="T60" s="22" t="n">
        <v>7</v>
      </c>
      <c r="U60" s="19" t="s">
        <v>75</v>
      </c>
      <c r="V60" s="8" t="s">
        <v>258</v>
      </c>
      <c r="W60" s="18" t="s">
        <v>92</v>
      </c>
    </row>
    <row r="61" customFormat="false" ht="26.85" hidden="false" customHeight="false" outlineLevel="0" collapsed="false">
      <c r="A61" s="18" t="s">
        <v>259</v>
      </c>
      <c r="B61" s="18" t="s">
        <v>254</v>
      </c>
      <c r="C61" s="18" t="s">
        <v>260</v>
      </c>
      <c r="D61" s="18" t="s">
        <v>256</v>
      </c>
      <c r="E61" s="8" t="s">
        <v>138</v>
      </c>
      <c r="F61" s="19" t="s">
        <v>26</v>
      </c>
      <c r="G61" s="20" t="n">
        <v>20</v>
      </c>
      <c r="H61" s="20" t="n">
        <v>30</v>
      </c>
      <c r="I61" s="20" t="n">
        <v>60</v>
      </c>
      <c r="J61" s="21" t="n">
        <f aca="false">G61*INDEX(Assumptions!$D$5:$D$7,MATCH($F61,Assumptions!$A$5:$A$7,0))</f>
        <v>20</v>
      </c>
      <c r="K61" s="21" t="n">
        <f aca="false">H61*INDEX(Assumptions!$D$5:$D$7,MATCH($F61,Assumptions!$A$5:$A$7,0))</f>
        <v>30</v>
      </c>
      <c r="L61" s="21" t="n">
        <f aca="false">I61*INDEX(Assumptions!$D$5:$D$7,MATCH($F61,Assumptions!$A$5:$A$7,0))</f>
        <v>60</v>
      </c>
      <c r="M61" s="21" t="n">
        <f aca="false">G61*INDEX(Assumptions!$E$5:$E$7,MATCH($F61,Assumptions!$A$5:$A$7,0))</f>
        <v>24</v>
      </c>
      <c r="N61" s="21" t="n">
        <f aca="false">H61*INDEX(Assumptions!$E$5:$E$7,MATCH($F61,Assumptions!$A$5:$A$7,0))</f>
        <v>36</v>
      </c>
      <c r="O61" s="21" t="n">
        <f aca="false">I61*INDEX(Assumptions!$E$5:$E$7,MATCH($F61,Assumptions!$A$5:$A$7,0))</f>
        <v>72</v>
      </c>
      <c r="P61" s="20"/>
      <c r="Q61" s="22" t="n">
        <v>0</v>
      </c>
      <c r="R61" s="22" t="n">
        <v>0</v>
      </c>
      <c r="S61" s="22" t="n">
        <v>3</v>
      </c>
      <c r="T61" s="22" t="n">
        <v>5</v>
      </c>
      <c r="U61" s="19" t="s">
        <v>75</v>
      </c>
      <c r="V61" s="8" t="s">
        <v>258</v>
      </c>
      <c r="W61" s="18" t="s">
        <v>261</v>
      </c>
    </row>
    <row r="62" customFormat="false" ht="26.85" hidden="false" customHeight="false" outlineLevel="0" collapsed="false">
      <c r="A62" s="18" t="s">
        <v>262</v>
      </c>
      <c r="B62" s="18" t="s">
        <v>254</v>
      </c>
      <c r="C62" s="18" t="s">
        <v>263</v>
      </c>
      <c r="D62" s="18" t="s">
        <v>256</v>
      </c>
      <c r="E62" s="8" t="s">
        <v>264</v>
      </c>
      <c r="F62" s="19" t="s">
        <v>29</v>
      </c>
      <c r="G62" s="20" t="n">
        <v>35</v>
      </c>
      <c r="H62" s="20" t="n">
        <v>45</v>
      </c>
      <c r="I62" s="20" t="n">
        <v>80</v>
      </c>
      <c r="J62" s="21" t="n">
        <f aca="false">G62*INDEX(Assumptions!$D$5:$D$7,MATCH($F62,Assumptions!$A$5:$A$7,0))</f>
        <v>40.25</v>
      </c>
      <c r="K62" s="21" t="n">
        <f aca="false">H62*INDEX(Assumptions!$D$5:$D$7,MATCH($F62,Assumptions!$A$5:$A$7,0))</f>
        <v>51.75</v>
      </c>
      <c r="L62" s="21" t="n">
        <f aca="false">I62*INDEX(Assumptions!$D$5:$D$7,MATCH($F62,Assumptions!$A$5:$A$7,0))</f>
        <v>92</v>
      </c>
      <c r="M62" s="21" t="n">
        <f aca="false">G62*INDEX(Assumptions!$E$5:$E$7,MATCH($F62,Assumptions!$A$5:$A$7,0))</f>
        <v>70</v>
      </c>
      <c r="N62" s="21" t="n">
        <f aca="false">H62*INDEX(Assumptions!$E$5:$E$7,MATCH($F62,Assumptions!$A$5:$A$7,0))</f>
        <v>90</v>
      </c>
      <c r="O62" s="21" t="n">
        <f aca="false">I62*INDEX(Assumptions!$E$5:$E$7,MATCH($F62,Assumptions!$A$5:$A$7,0))</f>
        <v>160</v>
      </c>
      <c r="P62" s="20"/>
      <c r="Q62" s="22" t="n">
        <v>0</v>
      </c>
      <c r="R62" s="22" t="n">
        <v>1</v>
      </c>
      <c r="S62" s="22" t="n">
        <v>3</v>
      </c>
      <c r="T62" s="22" t="n">
        <v>7</v>
      </c>
      <c r="U62" s="19" t="s">
        <v>75</v>
      </c>
      <c r="V62" s="8" t="s">
        <v>258</v>
      </c>
      <c r="W62" s="18" t="s">
        <v>92</v>
      </c>
    </row>
    <row r="63" customFormat="false" ht="26.85" hidden="false" customHeight="false" outlineLevel="0" collapsed="false">
      <c r="A63" s="18" t="s">
        <v>265</v>
      </c>
      <c r="B63" s="18" t="s">
        <v>254</v>
      </c>
      <c r="C63" s="18" t="s">
        <v>266</v>
      </c>
      <c r="D63" s="18" t="s">
        <v>267</v>
      </c>
      <c r="E63" s="8" t="s">
        <v>268</v>
      </c>
      <c r="F63" s="19" t="s">
        <v>29</v>
      </c>
      <c r="G63" s="20" t="n">
        <v>10</v>
      </c>
      <c r="H63" s="20" t="n">
        <v>20</v>
      </c>
      <c r="I63" s="20" t="n">
        <v>40</v>
      </c>
      <c r="J63" s="21" t="n">
        <f aca="false">G63*INDEX(Assumptions!$D$5:$D$7,MATCH($F63,Assumptions!$A$5:$A$7,0))</f>
        <v>11.5</v>
      </c>
      <c r="K63" s="21" t="n">
        <f aca="false">H63*INDEX(Assumptions!$D$5:$D$7,MATCH($F63,Assumptions!$A$5:$A$7,0))</f>
        <v>23</v>
      </c>
      <c r="L63" s="21" t="n">
        <f aca="false">I63*INDEX(Assumptions!$D$5:$D$7,MATCH($F63,Assumptions!$A$5:$A$7,0))</f>
        <v>46</v>
      </c>
      <c r="M63" s="21" t="n">
        <f aca="false">G63*INDEX(Assumptions!$E$5:$E$7,MATCH($F63,Assumptions!$A$5:$A$7,0))</f>
        <v>20</v>
      </c>
      <c r="N63" s="21" t="n">
        <f aca="false">H63*INDEX(Assumptions!$E$5:$E$7,MATCH($F63,Assumptions!$A$5:$A$7,0))</f>
        <v>40</v>
      </c>
      <c r="O63" s="21" t="n">
        <f aca="false">I63*INDEX(Assumptions!$E$5:$E$7,MATCH($F63,Assumptions!$A$5:$A$7,0))</f>
        <v>80</v>
      </c>
      <c r="P63" s="20"/>
      <c r="Q63" s="22" t="n">
        <v>0</v>
      </c>
      <c r="R63" s="22" t="n">
        <v>0</v>
      </c>
      <c r="S63" s="22" t="n">
        <v>3</v>
      </c>
      <c r="T63" s="22" t="n">
        <v>5</v>
      </c>
      <c r="U63" s="19" t="s">
        <v>75</v>
      </c>
      <c r="V63" s="8" t="s">
        <v>258</v>
      </c>
      <c r="W63" s="18" t="s">
        <v>261</v>
      </c>
    </row>
    <row r="64" customFormat="false" ht="26.85" hidden="false" customHeight="false" outlineLevel="0" collapsed="false">
      <c r="A64" s="18" t="s">
        <v>269</v>
      </c>
      <c r="B64" s="18" t="s">
        <v>254</v>
      </c>
      <c r="C64" s="18" t="s">
        <v>270</v>
      </c>
      <c r="D64" s="18" t="s">
        <v>267</v>
      </c>
      <c r="E64" s="8" t="s">
        <v>271</v>
      </c>
      <c r="F64" s="19" t="s">
        <v>29</v>
      </c>
      <c r="G64" s="20" t="n">
        <v>75</v>
      </c>
      <c r="H64" s="20" t="n">
        <v>120</v>
      </c>
      <c r="I64" s="20" t="n">
        <v>200</v>
      </c>
      <c r="J64" s="21" t="n">
        <f aca="false">G64*INDEX(Assumptions!$D$5:$D$7,MATCH($F64,Assumptions!$A$5:$A$7,0))</f>
        <v>86.25</v>
      </c>
      <c r="K64" s="21" t="n">
        <f aca="false">H64*INDEX(Assumptions!$D$5:$D$7,MATCH($F64,Assumptions!$A$5:$A$7,0))</f>
        <v>138</v>
      </c>
      <c r="L64" s="21" t="n">
        <f aca="false">I64*INDEX(Assumptions!$D$5:$D$7,MATCH($F64,Assumptions!$A$5:$A$7,0))</f>
        <v>230</v>
      </c>
      <c r="M64" s="21" t="n">
        <f aca="false">G64*INDEX(Assumptions!$E$5:$E$7,MATCH($F64,Assumptions!$A$5:$A$7,0))</f>
        <v>150</v>
      </c>
      <c r="N64" s="21" t="n">
        <f aca="false">H64*INDEX(Assumptions!$E$5:$E$7,MATCH($F64,Assumptions!$A$5:$A$7,0))</f>
        <v>240</v>
      </c>
      <c r="O64" s="21" t="n">
        <f aca="false">I64*INDEX(Assumptions!$E$5:$E$7,MATCH($F64,Assumptions!$A$5:$A$7,0))</f>
        <v>400</v>
      </c>
      <c r="P64" s="20"/>
      <c r="Q64" s="22" t="n">
        <v>2</v>
      </c>
      <c r="R64" s="22" t="n">
        <v>5</v>
      </c>
      <c r="S64" s="22" t="n">
        <v>7</v>
      </c>
      <c r="T64" s="22" t="n">
        <v>15</v>
      </c>
      <c r="U64" s="19" t="s">
        <v>88</v>
      </c>
      <c r="V64" s="8" t="s">
        <v>258</v>
      </c>
      <c r="W64" s="18" t="s">
        <v>92</v>
      </c>
    </row>
    <row r="65" customFormat="false" ht="26.85" hidden="false" customHeight="false" outlineLevel="0" collapsed="false">
      <c r="A65" s="18" t="s">
        <v>272</v>
      </c>
      <c r="B65" s="18" t="s">
        <v>254</v>
      </c>
      <c r="C65" s="18" t="s">
        <v>273</v>
      </c>
      <c r="D65" s="18" t="s">
        <v>240</v>
      </c>
      <c r="E65" s="8" t="s">
        <v>274</v>
      </c>
      <c r="F65" s="19" t="s">
        <v>29</v>
      </c>
      <c r="G65" s="20" t="n">
        <v>30</v>
      </c>
      <c r="H65" s="20" t="n">
        <v>45</v>
      </c>
      <c r="I65" s="20" t="n">
        <v>80</v>
      </c>
      <c r="J65" s="21" t="n">
        <f aca="false">G65*INDEX(Assumptions!$D$5:$D$7,MATCH($F65,Assumptions!$A$5:$A$7,0))</f>
        <v>34.5</v>
      </c>
      <c r="K65" s="21" t="n">
        <f aca="false">H65*INDEX(Assumptions!$D$5:$D$7,MATCH($F65,Assumptions!$A$5:$A$7,0))</f>
        <v>51.75</v>
      </c>
      <c r="L65" s="21" t="n">
        <f aca="false">I65*INDEX(Assumptions!$D$5:$D$7,MATCH($F65,Assumptions!$A$5:$A$7,0))</f>
        <v>92</v>
      </c>
      <c r="M65" s="21" t="n">
        <f aca="false">G65*INDEX(Assumptions!$E$5:$E$7,MATCH($F65,Assumptions!$A$5:$A$7,0))</f>
        <v>60</v>
      </c>
      <c r="N65" s="21" t="n">
        <f aca="false">H65*INDEX(Assumptions!$E$5:$E$7,MATCH($F65,Assumptions!$A$5:$A$7,0))</f>
        <v>90</v>
      </c>
      <c r="O65" s="21" t="n">
        <f aca="false">I65*INDEX(Assumptions!$E$5:$E$7,MATCH($F65,Assumptions!$A$5:$A$7,0))</f>
        <v>160</v>
      </c>
      <c r="P65" s="20"/>
      <c r="Q65" s="22" t="n">
        <v>0</v>
      </c>
      <c r="R65" s="22" t="n">
        <v>2</v>
      </c>
      <c r="S65" s="22" t="n">
        <v>5</v>
      </c>
      <c r="T65" s="22" t="n">
        <v>7</v>
      </c>
      <c r="U65" s="19" t="s">
        <v>75</v>
      </c>
      <c r="V65" s="8" t="s">
        <v>258</v>
      </c>
      <c r="W65" s="18" t="s">
        <v>100</v>
      </c>
    </row>
    <row r="66" customFormat="false" ht="26.85" hidden="false" customHeight="false" outlineLevel="0" collapsed="false">
      <c r="A66" s="18" t="s">
        <v>275</v>
      </c>
      <c r="B66" s="18" t="s">
        <v>276</v>
      </c>
      <c r="C66" s="18" t="s">
        <v>277</v>
      </c>
      <c r="D66" s="18" t="s">
        <v>73</v>
      </c>
      <c r="E66" s="8" t="s">
        <v>278</v>
      </c>
      <c r="F66" s="19" t="s">
        <v>26</v>
      </c>
      <c r="G66" s="20" t="n">
        <v>21</v>
      </c>
      <c r="H66" s="20" t="n">
        <v>40</v>
      </c>
      <c r="I66" s="20" t="n">
        <v>60</v>
      </c>
      <c r="J66" s="21" t="n">
        <f aca="false">G66*INDEX(Assumptions!$D$5:$D$7,MATCH($F66,Assumptions!$A$5:$A$7,0))</f>
        <v>21</v>
      </c>
      <c r="K66" s="21" t="n">
        <f aca="false">H66*INDEX(Assumptions!$D$5:$D$7,MATCH($F66,Assumptions!$A$5:$A$7,0))</f>
        <v>40</v>
      </c>
      <c r="L66" s="21" t="n">
        <f aca="false">I66*INDEX(Assumptions!$D$5:$D$7,MATCH($F66,Assumptions!$A$5:$A$7,0))</f>
        <v>60</v>
      </c>
      <c r="M66" s="21" t="n">
        <f aca="false">G66*INDEX(Assumptions!$E$5:$E$7,MATCH($F66,Assumptions!$A$5:$A$7,0))</f>
        <v>25.2</v>
      </c>
      <c r="N66" s="21" t="n">
        <f aca="false">H66*INDEX(Assumptions!$E$5:$E$7,MATCH($F66,Assumptions!$A$5:$A$7,0))</f>
        <v>48</v>
      </c>
      <c r="O66" s="21" t="n">
        <f aca="false">I66*INDEX(Assumptions!$E$5:$E$7,MATCH($F66,Assumptions!$A$5:$A$7,0))</f>
        <v>72</v>
      </c>
      <c r="P66" s="20"/>
      <c r="Q66" s="22" t="n">
        <v>0</v>
      </c>
      <c r="R66" s="22" t="n">
        <v>1</v>
      </c>
      <c r="S66" s="22" t="n">
        <v>3</v>
      </c>
      <c r="T66" s="22" t="n">
        <v>7</v>
      </c>
      <c r="U66" s="19" t="s">
        <v>75</v>
      </c>
      <c r="V66" s="8" t="s">
        <v>279</v>
      </c>
      <c r="W66" s="18" t="s">
        <v>280</v>
      </c>
    </row>
    <row r="67" customFormat="false" ht="26.85" hidden="false" customHeight="false" outlineLevel="0" collapsed="false">
      <c r="A67" s="18" t="s">
        <v>281</v>
      </c>
      <c r="B67" s="18" t="s">
        <v>276</v>
      </c>
      <c r="C67" s="18" t="s">
        <v>282</v>
      </c>
      <c r="D67" s="18" t="s">
        <v>240</v>
      </c>
      <c r="E67" s="8" t="s">
        <v>283</v>
      </c>
      <c r="F67" s="19" t="s">
        <v>26</v>
      </c>
      <c r="G67" s="20" t="n">
        <v>21</v>
      </c>
      <c r="H67" s="20" t="n">
        <v>50</v>
      </c>
      <c r="I67" s="20" t="n">
        <v>70</v>
      </c>
      <c r="J67" s="21" t="n">
        <f aca="false">G67*INDEX(Assumptions!$D$5:$D$7,MATCH($F67,Assumptions!$A$5:$A$7,0))</f>
        <v>21</v>
      </c>
      <c r="K67" s="21" t="n">
        <f aca="false">H67*INDEX(Assumptions!$D$5:$D$7,MATCH($F67,Assumptions!$A$5:$A$7,0))</f>
        <v>50</v>
      </c>
      <c r="L67" s="21" t="n">
        <f aca="false">I67*INDEX(Assumptions!$D$5:$D$7,MATCH($F67,Assumptions!$A$5:$A$7,0))</f>
        <v>70</v>
      </c>
      <c r="M67" s="21" t="n">
        <f aca="false">G67*INDEX(Assumptions!$E$5:$E$7,MATCH($F67,Assumptions!$A$5:$A$7,0))</f>
        <v>25.2</v>
      </c>
      <c r="N67" s="21" t="n">
        <f aca="false">H67*INDEX(Assumptions!$E$5:$E$7,MATCH($F67,Assumptions!$A$5:$A$7,0))</f>
        <v>60</v>
      </c>
      <c r="O67" s="21" t="n">
        <f aca="false">I67*INDEX(Assumptions!$E$5:$E$7,MATCH($F67,Assumptions!$A$5:$A$7,0))</f>
        <v>84</v>
      </c>
      <c r="P67" s="20"/>
      <c r="Q67" s="22" t="n">
        <v>0</v>
      </c>
      <c r="R67" s="22" t="n">
        <v>1</v>
      </c>
      <c r="S67" s="22" t="n">
        <v>3</v>
      </c>
      <c r="T67" s="22" t="n">
        <v>7</v>
      </c>
      <c r="U67" s="19" t="s">
        <v>75</v>
      </c>
      <c r="V67" s="8" t="s">
        <v>279</v>
      </c>
      <c r="W67" s="18" t="s">
        <v>284</v>
      </c>
    </row>
    <row r="68" customFormat="false" ht="26.85" hidden="false" customHeight="false" outlineLevel="0" collapsed="false">
      <c r="A68" s="18" t="s">
        <v>285</v>
      </c>
      <c r="B68" s="18" t="s">
        <v>276</v>
      </c>
      <c r="C68" s="18" t="s">
        <v>286</v>
      </c>
      <c r="D68" s="18" t="s">
        <v>240</v>
      </c>
      <c r="E68" s="8" t="s">
        <v>283</v>
      </c>
      <c r="F68" s="19" t="s">
        <v>26</v>
      </c>
      <c r="G68" s="20" t="n">
        <v>30</v>
      </c>
      <c r="H68" s="20" t="n">
        <v>40</v>
      </c>
      <c r="I68" s="20" t="n">
        <v>60</v>
      </c>
      <c r="J68" s="21" t="n">
        <f aca="false">G68*INDEX(Assumptions!$D$5:$D$7,MATCH($F68,Assumptions!$A$5:$A$7,0))</f>
        <v>30</v>
      </c>
      <c r="K68" s="21" t="n">
        <f aca="false">H68*INDEX(Assumptions!$D$5:$D$7,MATCH($F68,Assumptions!$A$5:$A$7,0))</f>
        <v>40</v>
      </c>
      <c r="L68" s="21" t="n">
        <f aca="false">I68*INDEX(Assumptions!$D$5:$D$7,MATCH($F68,Assumptions!$A$5:$A$7,0))</f>
        <v>60</v>
      </c>
      <c r="M68" s="21" t="n">
        <f aca="false">G68*INDEX(Assumptions!$E$5:$E$7,MATCH($F68,Assumptions!$A$5:$A$7,0))</f>
        <v>36</v>
      </c>
      <c r="N68" s="21" t="n">
        <f aca="false">H68*INDEX(Assumptions!$E$5:$E$7,MATCH($F68,Assumptions!$A$5:$A$7,0))</f>
        <v>48</v>
      </c>
      <c r="O68" s="21" t="n">
        <f aca="false">I68*INDEX(Assumptions!$E$5:$E$7,MATCH($F68,Assumptions!$A$5:$A$7,0))</f>
        <v>72</v>
      </c>
      <c r="P68" s="20"/>
      <c r="Q68" s="22" t="n">
        <v>0</v>
      </c>
      <c r="R68" s="22" t="n">
        <v>1</v>
      </c>
      <c r="S68" s="22" t="n">
        <v>3</v>
      </c>
      <c r="T68" s="22" t="n">
        <v>7</v>
      </c>
      <c r="U68" s="19" t="s">
        <v>75</v>
      </c>
      <c r="V68" s="8" t="s">
        <v>279</v>
      </c>
      <c r="W68" s="18" t="s">
        <v>100</v>
      </c>
    </row>
    <row r="69" customFormat="false" ht="26.85" hidden="false" customHeight="false" outlineLevel="0" collapsed="false">
      <c r="A69" s="18" t="s">
        <v>287</v>
      </c>
      <c r="B69" s="18" t="s">
        <v>276</v>
      </c>
      <c r="C69" s="18" t="s">
        <v>288</v>
      </c>
      <c r="D69" s="18" t="s">
        <v>240</v>
      </c>
      <c r="E69" s="8" t="s">
        <v>289</v>
      </c>
      <c r="F69" s="19" t="s">
        <v>26</v>
      </c>
      <c r="G69" s="20" t="n">
        <v>45</v>
      </c>
      <c r="H69" s="20" t="n">
        <v>60</v>
      </c>
      <c r="I69" s="20" t="n">
        <v>80</v>
      </c>
      <c r="J69" s="21" t="n">
        <f aca="false">G69*INDEX(Assumptions!$D$5:$D$7,MATCH($F69,Assumptions!$A$5:$A$7,0))</f>
        <v>45</v>
      </c>
      <c r="K69" s="21" t="n">
        <f aca="false">H69*INDEX(Assumptions!$D$5:$D$7,MATCH($F69,Assumptions!$A$5:$A$7,0))</f>
        <v>60</v>
      </c>
      <c r="L69" s="21" t="n">
        <f aca="false">I69*INDEX(Assumptions!$D$5:$D$7,MATCH($F69,Assumptions!$A$5:$A$7,0))</f>
        <v>80</v>
      </c>
      <c r="M69" s="21" t="n">
        <f aca="false">G69*INDEX(Assumptions!$E$5:$E$7,MATCH($F69,Assumptions!$A$5:$A$7,0))</f>
        <v>54</v>
      </c>
      <c r="N69" s="21" t="n">
        <f aca="false">H69*INDEX(Assumptions!$E$5:$E$7,MATCH($F69,Assumptions!$A$5:$A$7,0))</f>
        <v>72</v>
      </c>
      <c r="O69" s="21" t="n">
        <f aca="false">I69*INDEX(Assumptions!$E$5:$E$7,MATCH($F69,Assumptions!$A$5:$A$7,0))</f>
        <v>96</v>
      </c>
      <c r="P69" s="20"/>
      <c r="Q69" s="22" t="n">
        <v>0</v>
      </c>
      <c r="R69" s="22" t="n">
        <v>1</v>
      </c>
      <c r="S69" s="22" t="n">
        <v>3</v>
      </c>
      <c r="T69" s="22" t="n">
        <v>7</v>
      </c>
      <c r="U69" s="19" t="s">
        <v>75</v>
      </c>
      <c r="V69" s="8" t="s">
        <v>279</v>
      </c>
      <c r="W69" s="18" t="s">
        <v>284</v>
      </c>
    </row>
    <row r="70" customFormat="false" ht="26.85" hidden="false" customHeight="false" outlineLevel="0" collapsed="false">
      <c r="A70" s="18" t="s">
        <v>290</v>
      </c>
      <c r="B70" s="18" t="s">
        <v>276</v>
      </c>
      <c r="C70" s="18" t="s">
        <v>291</v>
      </c>
      <c r="D70" s="18" t="s">
        <v>240</v>
      </c>
      <c r="E70" s="8" t="s">
        <v>292</v>
      </c>
      <c r="F70" s="19" t="s">
        <v>26</v>
      </c>
      <c r="G70" s="20" t="n">
        <v>0</v>
      </c>
      <c r="H70" s="20" t="n">
        <v>25</v>
      </c>
      <c r="I70" s="20" t="n">
        <v>50</v>
      </c>
      <c r="J70" s="21" t="n">
        <f aca="false">G70*INDEX(Assumptions!$D$5:$D$7,MATCH($F70,Assumptions!$A$5:$A$7,0))</f>
        <v>0</v>
      </c>
      <c r="K70" s="21" t="n">
        <f aca="false">H70*INDEX(Assumptions!$D$5:$D$7,MATCH($F70,Assumptions!$A$5:$A$7,0))</f>
        <v>25</v>
      </c>
      <c r="L70" s="21" t="n">
        <f aca="false">I70*INDEX(Assumptions!$D$5:$D$7,MATCH($F70,Assumptions!$A$5:$A$7,0))</f>
        <v>50</v>
      </c>
      <c r="M70" s="21" t="n">
        <f aca="false">G70*INDEX(Assumptions!$E$5:$E$7,MATCH($F70,Assumptions!$A$5:$A$7,0))</f>
        <v>0</v>
      </c>
      <c r="N70" s="21" t="n">
        <f aca="false">H70*INDEX(Assumptions!$E$5:$E$7,MATCH($F70,Assumptions!$A$5:$A$7,0))</f>
        <v>30</v>
      </c>
      <c r="O70" s="21" t="n">
        <f aca="false">I70*INDEX(Assumptions!$E$5:$E$7,MATCH($F70,Assumptions!$A$5:$A$7,0))</f>
        <v>60</v>
      </c>
      <c r="P70" s="20"/>
      <c r="Q70" s="22" t="n">
        <v>0</v>
      </c>
      <c r="R70" s="22" t="n">
        <v>0</v>
      </c>
      <c r="S70" s="22"/>
      <c r="T70" s="22"/>
      <c r="U70" s="19" t="s">
        <v>75</v>
      </c>
      <c r="V70" s="8" t="s">
        <v>279</v>
      </c>
      <c r="W70" s="18" t="s">
        <v>92</v>
      </c>
    </row>
    <row r="71" customFormat="false" ht="26.85" hidden="false" customHeight="false" outlineLevel="0" collapsed="false">
      <c r="A71" s="18" t="s">
        <v>293</v>
      </c>
      <c r="B71" s="18" t="s">
        <v>276</v>
      </c>
      <c r="C71" s="18" t="s">
        <v>294</v>
      </c>
      <c r="D71" s="18" t="s">
        <v>240</v>
      </c>
      <c r="E71" s="8" t="s">
        <v>295</v>
      </c>
      <c r="F71" s="19" t="s">
        <v>26</v>
      </c>
      <c r="G71" s="20" t="n">
        <v>40</v>
      </c>
      <c r="H71" s="20" t="n">
        <v>60</v>
      </c>
      <c r="I71" s="20" t="n">
        <v>90</v>
      </c>
      <c r="J71" s="21" t="n">
        <f aca="false">G71*INDEX(Assumptions!$D$5:$D$7,MATCH($F71,Assumptions!$A$5:$A$7,0))</f>
        <v>40</v>
      </c>
      <c r="K71" s="21" t="n">
        <f aca="false">H71*INDEX(Assumptions!$D$5:$D$7,MATCH($F71,Assumptions!$A$5:$A$7,0))</f>
        <v>60</v>
      </c>
      <c r="L71" s="21" t="n">
        <f aca="false">I71*INDEX(Assumptions!$D$5:$D$7,MATCH($F71,Assumptions!$A$5:$A$7,0))</f>
        <v>90</v>
      </c>
      <c r="M71" s="21" t="n">
        <f aca="false">G71*INDEX(Assumptions!$E$5:$E$7,MATCH($F71,Assumptions!$A$5:$A$7,0))</f>
        <v>48</v>
      </c>
      <c r="N71" s="21" t="n">
        <f aca="false">H71*INDEX(Assumptions!$E$5:$E$7,MATCH($F71,Assumptions!$A$5:$A$7,0))</f>
        <v>72</v>
      </c>
      <c r="O71" s="21" t="n">
        <f aca="false">I71*INDEX(Assumptions!$E$5:$E$7,MATCH($F71,Assumptions!$A$5:$A$7,0))</f>
        <v>108</v>
      </c>
      <c r="P71" s="20"/>
      <c r="Q71" s="22" t="n">
        <v>0</v>
      </c>
      <c r="R71" s="22" t="n">
        <v>2</v>
      </c>
      <c r="S71" s="22" t="n">
        <v>5</v>
      </c>
      <c r="T71" s="22" t="n">
        <v>7</v>
      </c>
      <c r="U71" s="19" t="s">
        <v>75</v>
      </c>
      <c r="V71" s="8" t="s">
        <v>279</v>
      </c>
      <c r="W71" s="18" t="s">
        <v>100</v>
      </c>
    </row>
    <row r="72" customFormat="false" ht="26.85" hidden="false" customHeight="false" outlineLevel="0" collapsed="false">
      <c r="A72" s="18" t="s">
        <v>296</v>
      </c>
      <c r="B72" s="18" t="s">
        <v>297</v>
      </c>
      <c r="C72" s="18" t="s">
        <v>298</v>
      </c>
      <c r="D72" s="18" t="s">
        <v>299</v>
      </c>
      <c r="E72" s="8" t="s">
        <v>300</v>
      </c>
      <c r="F72" s="19" t="s">
        <v>26</v>
      </c>
      <c r="G72" s="23" t="n">
        <v>4</v>
      </c>
      <c r="H72" s="23" t="n">
        <v>5</v>
      </c>
      <c r="I72" s="23" t="n">
        <v>7</v>
      </c>
      <c r="J72" s="24" t="n">
        <f aca="false">G72*INDEX(Assumptions!$D$5:$D$7,MATCH($F72,Assumptions!$A$5:$A$7,0))</f>
        <v>4</v>
      </c>
      <c r="K72" s="24" t="n">
        <f aca="false">H72*INDEX(Assumptions!$D$5:$D$7,MATCH($F72,Assumptions!$A$5:$A$7,0))</f>
        <v>5</v>
      </c>
      <c r="L72" s="24" t="n">
        <f aca="false">I72*INDEX(Assumptions!$D$5:$D$7,MATCH($F72,Assumptions!$A$5:$A$7,0))</f>
        <v>7</v>
      </c>
      <c r="M72" s="24" t="n">
        <f aca="false">G72*INDEX(Assumptions!$E$5:$E$7,MATCH($F72,Assumptions!$A$5:$A$7,0))</f>
        <v>4.8</v>
      </c>
      <c r="N72" s="24" t="n">
        <f aca="false">H72*INDEX(Assumptions!$E$5:$E$7,MATCH($F72,Assumptions!$A$5:$A$7,0))</f>
        <v>6</v>
      </c>
      <c r="O72" s="24" t="n">
        <f aca="false">I72*INDEX(Assumptions!$E$5:$E$7,MATCH($F72,Assumptions!$A$5:$A$7,0))</f>
        <v>8.4</v>
      </c>
      <c r="P72" s="23"/>
      <c r="Q72" s="22" t="n">
        <v>3</v>
      </c>
      <c r="R72" s="22" t="n">
        <v>7</v>
      </c>
      <c r="S72" s="22" t="n">
        <v>7</v>
      </c>
      <c r="T72" s="22" t="n">
        <v>15</v>
      </c>
      <c r="U72" s="19" t="s">
        <v>88</v>
      </c>
      <c r="V72" s="8" t="s">
        <v>301</v>
      </c>
      <c r="W72" s="18" t="s">
        <v>96</v>
      </c>
    </row>
    <row r="73" customFormat="false" ht="26.85" hidden="false" customHeight="false" outlineLevel="0" collapsed="false">
      <c r="A73" s="18" t="s">
        <v>302</v>
      </c>
      <c r="B73" s="18" t="s">
        <v>297</v>
      </c>
      <c r="C73" s="18" t="s">
        <v>303</v>
      </c>
      <c r="D73" s="18" t="s">
        <v>299</v>
      </c>
      <c r="E73" s="8" t="s">
        <v>241</v>
      </c>
      <c r="F73" s="19" t="s">
        <v>26</v>
      </c>
      <c r="G73" s="23" t="n">
        <v>2</v>
      </c>
      <c r="H73" s="23" t="n">
        <v>2.5</v>
      </c>
      <c r="I73" s="23" t="n">
        <v>4</v>
      </c>
      <c r="J73" s="24" t="n">
        <f aca="false">G73*INDEX(Assumptions!$D$5:$D$7,MATCH($F73,Assumptions!$A$5:$A$7,0))</f>
        <v>2</v>
      </c>
      <c r="K73" s="24" t="n">
        <f aca="false">H73*INDEX(Assumptions!$D$5:$D$7,MATCH($F73,Assumptions!$A$5:$A$7,0))</f>
        <v>2.5</v>
      </c>
      <c r="L73" s="24" t="n">
        <f aca="false">I73*INDEX(Assumptions!$D$5:$D$7,MATCH($F73,Assumptions!$A$5:$A$7,0))</f>
        <v>4</v>
      </c>
      <c r="M73" s="24" t="n">
        <f aca="false">G73*INDEX(Assumptions!$E$5:$E$7,MATCH($F73,Assumptions!$A$5:$A$7,0))</f>
        <v>2.4</v>
      </c>
      <c r="N73" s="24" t="n">
        <f aca="false">H73*INDEX(Assumptions!$E$5:$E$7,MATCH($F73,Assumptions!$A$5:$A$7,0))</f>
        <v>3</v>
      </c>
      <c r="O73" s="24" t="n">
        <f aca="false">I73*INDEX(Assumptions!$E$5:$E$7,MATCH($F73,Assumptions!$A$5:$A$7,0))</f>
        <v>4.8</v>
      </c>
      <c r="P73" s="23"/>
      <c r="Q73" s="22" t="n">
        <v>1</v>
      </c>
      <c r="R73" s="22" t="n">
        <v>3</v>
      </c>
      <c r="S73" s="22" t="n">
        <v>7</v>
      </c>
      <c r="T73" s="22" t="n">
        <v>15</v>
      </c>
      <c r="U73" s="19" t="s">
        <v>88</v>
      </c>
      <c r="V73" s="8" t="s">
        <v>301</v>
      </c>
      <c r="W73" s="18" t="s">
        <v>100</v>
      </c>
    </row>
    <row r="74" customFormat="false" ht="26.85" hidden="false" customHeight="false" outlineLevel="0" collapsed="false">
      <c r="A74" s="18" t="s">
        <v>304</v>
      </c>
      <c r="B74" s="18" t="s">
        <v>297</v>
      </c>
      <c r="C74" s="18" t="s">
        <v>305</v>
      </c>
      <c r="D74" s="18" t="s">
        <v>306</v>
      </c>
      <c r="E74" s="8" t="s">
        <v>307</v>
      </c>
      <c r="F74" s="19" t="s">
        <v>26</v>
      </c>
      <c r="G74" s="20" t="n">
        <v>15</v>
      </c>
      <c r="H74" s="20" t="n">
        <v>20</v>
      </c>
      <c r="I74" s="20" t="n">
        <v>35</v>
      </c>
      <c r="J74" s="21" t="n">
        <f aca="false">G74*INDEX(Assumptions!$D$5:$D$7,MATCH($F74,Assumptions!$A$5:$A$7,0))</f>
        <v>15</v>
      </c>
      <c r="K74" s="21" t="n">
        <f aca="false">H74*INDEX(Assumptions!$D$5:$D$7,MATCH($F74,Assumptions!$A$5:$A$7,0))</f>
        <v>20</v>
      </c>
      <c r="L74" s="21" t="n">
        <f aca="false">I74*INDEX(Assumptions!$D$5:$D$7,MATCH($F74,Assumptions!$A$5:$A$7,0))</f>
        <v>35</v>
      </c>
      <c r="M74" s="21" t="n">
        <f aca="false">G74*INDEX(Assumptions!$E$5:$E$7,MATCH($F74,Assumptions!$A$5:$A$7,0))</f>
        <v>18</v>
      </c>
      <c r="N74" s="21" t="n">
        <f aca="false">H74*INDEX(Assumptions!$E$5:$E$7,MATCH($F74,Assumptions!$A$5:$A$7,0))</f>
        <v>24</v>
      </c>
      <c r="O74" s="21" t="n">
        <f aca="false">I74*INDEX(Assumptions!$E$5:$E$7,MATCH($F74,Assumptions!$A$5:$A$7,0))</f>
        <v>42</v>
      </c>
      <c r="P74" s="20"/>
      <c r="Q74" s="22" t="n">
        <v>0</v>
      </c>
      <c r="R74" s="22" t="n">
        <v>1</v>
      </c>
      <c r="S74" s="22" t="n">
        <v>3</v>
      </c>
      <c r="T74" s="22" t="n">
        <v>7</v>
      </c>
      <c r="U74" s="19" t="s">
        <v>75</v>
      </c>
      <c r="V74" s="8" t="s">
        <v>301</v>
      </c>
      <c r="W74" s="18" t="s">
        <v>100</v>
      </c>
    </row>
    <row r="75" customFormat="false" ht="26.85" hidden="false" customHeight="false" outlineLevel="0" collapsed="false">
      <c r="A75" s="18" t="s">
        <v>308</v>
      </c>
      <c r="B75" s="18" t="s">
        <v>309</v>
      </c>
      <c r="C75" s="18" t="s">
        <v>310</v>
      </c>
      <c r="D75" s="18" t="s">
        <v>240</v>
      </c>
      <c r="E75" s="8" t="s">
        <v>311</v>
      </c>
      <c r="F75" s="19" t="s">
        <v>26</v>
      </c>
      <c r="G75" s="20" t="n">
        <v>30</v>
      </c>
      <c r="H75" s="20" t="n">
        <v>50</v>
      </c>
      <c r="I75" s="20" t="n">
        <v>75</v>
      </c>
      <c r="J75" s="21" t="n">
        <f aca="false">G75*INDEX(Assumptions!$D$5:$D$7,MATCH($F75,Assumptions!$A$5:$A$7,0))</f>
        <v>30</v>
      </c>
      <c r="K75" s="21" t="n">
        <f aca="false">H75*INDEX(Assumptions!$D$5:$D$7,MATCH($F75,Assumptions!$A$5:$A$7,0))</f>
        <v>50</v>
      </c>
      <c r="L75" s="21" t="n">
        <f aca="false">I75*INDEX(Assumptions!$D$5:$D$7,MATCH($F75,Assumptions!$A$5:$A$7,0))</f>
        <v>75</v>
      </c>
      <c r="M75" s="21" t="n">
        <f aca="false">G75*INDEX(Assumptions!$E$5:$E$7,MATCH($F75,Assumptions!$A$5:$A$7,0))</f>
        <v>36</v>
      </c>
      <c r="N75" s="21" t="n">
        <f aca="false">H75*INDEX(Assumptions!$E$5:$E$7,MATCH($F75,Assumptions!$A$5:$A$7,0))</f>
        <v>60</v>
      </c>
      <c r="O75" s="21" t="n">
        <f aca="false">I75*INDEX(Assumptions!$E$5:$E$7,MATCH($F75,Assumptions!$A$5:$A$7,0))</f>
        <v>90</v>
      </c>
      <c r="P75" s="20"/>
      <c r="Q75" s="22" t="n">
        <v>0</v>
      </c>
      <c r="R75" s="22" t="n">
        <v>2</v>
      </c>
      <c r="S75" s="22" t="n">
        <v>5</v>
      </c>
      <c r="T75" s="22" t="n">
        <v>10</v>
      </c>
      <c r="U75" s="19" t="s">
        <v>75</v>
      </c>
      <c r="V75" s="8" t="s">
        <v>312</v>
      </c>
      <c r="W75" s="18" t="s">
        <v>152</v>
      </c>
    </row>
    <row r="76" customFormat="false" ht="26.85" hidden="false" customHeight="false" outlineLevel="0" collapsed="false">
      <c r="A76" s="18" t="s">
        <v>313</v>
      </c>
      <c r="B76" s="18" t="s">
        <v>309</v>
      </c>
      <c r="C76" s="18" t="s">
        <v>314</v>
      </c>
      <c r="D76" s="18" t="s">
        <v>240</v>
      </c>
      <c r="E76" s="8" t="s">
        <v>315</v>
      </c>
      <c r="F76" s="19" t="s">
        <v>26</v>
      </c>
      <c r="G76" s="20" t="n">
        <v>75</v>
      </c>
      <c r="H76" s="20" t="n">
        <v>100</v>
      </c>
      <c r="I76" s="20" t="n">
        <v>150</v>
      </c>
      <c r="J76" s="21" t="n">
        <f aca="false">G76*INDEX(Assumptions!$D$5:$D$7,MATCH($F76,Assumptions!$A$5:$A$7,0))</f>
        <v>75</v>
      </c>
      <c r="K76" s="21" t="n">
        <f aca="false">H76*INDEX(Assumptions!$D$5:$D$7,MATCH($F76,Assumptions!$A$5:$A$7,0))</f>
        <v>100</v>
      </c>
      <c r="L76" s="21" t="n">
        <f aca="false">I76*INDEX(Assumptions!$D$5:$D$7,MATCH($F76,Assumptions!$A$5:$A$7,0))</f>
        <v>150</v>
      </c>
      <c r="M76" s="21" t="n">
        <f aca="false">G76*INDEX(Assumptions!$E$5:$E$7,MATCH($F76,Assumptions!$A$5:$A$7,0))</f>
        <v>90</v>
      </c>
      <c r="N76" s="21" t="n">
        <f aca="false">H76*INDEX(Assumptions!$E$5:$E$7,MATCH($F76,Assumptions!$A$5:$A$7,0))</f>
        <v>120</v>
      </c>
      <c r="O76" s="21" t="n">
        <f aca="false">I76*INDEX(Assumptions!$E$5:$E$7,MATCH($F76,Assumptions!$A$5:$A$7,0))</f>
        <v>180</v>
      </c>
      <c r="P76" s="20"/>
      <c r="Q76" s="22" t="n">
        <v>1</v>
      </c>
      <c r="R76" s="22" t="n">
        <v>5</v>
      </c>
      <c r="S76" s="22" t="n">
        <v>7</v>
      </c>
      <c r="T76" s="22" t="n">
        <v>14</v>
      </c>
      <c r="U76" s="19" t="s">
        <v>88</v>
      </c>
      <c r="V76" s="8" t="s">
        <v>312</v>
      </c>
      <c r="W76" s="18" t="s">
        <v>284</v>
      </c>
    </row>
    <row r="78" customFormat="false" ht="15" hidden="false" customHeight="false" outlineLevel="0" collapsed="false">
      <c r="A78" s="11" t="s">
        <v>316</v>
      </c>
    </row>
    <row r="79" customFormat="false" ht="15" hidden="false" customHeight="false" outlineLevel="0" collapsed="false">
      <c r="A79" s="12" t="s">
        <v>317</v>
      </c>
    </row>
    <row r="80" customFormat="false" ht="15" hidden="false" customHeight="false" outlineLevel="0" collapsed="false">
      <c r="A80" s="12" t="s">
        <v>318</v>
      </c>
    </row>
    <row r="81" customFormat="false" ht="15" hidden="false" customHeight="false" outlineLevel="0" collapsed="false">
      <c r="A81" s="12" t="s">
        <v>319</v>
      </c>
    </row>
    <row r="82" customFormat="false" ht="15" hidden="false" customHeight="false" outlineLevel="0" collapsed="false">
      <c r="A82" s="12" t="s">
        <v>320</v>
      </c>
    </row>
    <row r="83" customFormat="false" ht="15" hidden="false" customHeight="false" outlineLevel="0" collapsed="false">
      <c r="A83" s="12" t="s">
        <v>321</v>
      </c>
    </row>
  </sheetData>
  <autoFilter ref="A4:W76"/>
  <mergeCells count="7">
    <mergeCell ref="A3:F3"/>
    <mergeCell ref="G3:I3"/>
    <mergeCell ref="J3:L3"/>
    <mergeCell ref="M3:O3"/>
    <mergeCell ref="Q3:R3"/>
    <mergeCell ref="S3:T3"/>
    <mergeCell ref="U3:W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70"/>
  </cols>
  <sheetData>
    <row r="1" customFormat="false" ht="16.15" hidden="false" customHeight="false" outlineLevel="0" collapsed="false">
      <c r="A1" s="5" t="s">
        <v>322</v>
      </c>
    </row>
    <row r="2" customFormat="false" ht="15" hidden="false" customHeight="false" outlineLevel="0" collapsed="false">
      <c r="A2" s="6" t="s">
        <v>323</v>
      </c>
    </row>
    <row r="4" customFormat="false" ht="15" hidden="false" customHeight="false" outlineLevel="0" collapsed="false">
      <c r="A4" s="12" t="s">
        <v>324</v>
      </c>
      <c r="B4" s="25" t="s">
        <v>142</v>
      </c>
    </row>
    <row r="5" customFormat="false" ht="15" hidden="false" customHeight="false" outlineLevel="0" collapsed="false">
      <c r="A5" s="12" t="s">
        <v>325</v>
      </c>
      <c r="B5" s="25" t="s">
        <v>24</v>
      </c>
    </row>
    <row r="6" customFormat="false" ht="15" hidden="false" customHeight="false" outlineLevel="0" collapsed="false">
      <c r="A6" s="12" t="s">
        <v>326</v>
      </c>
      <c r="B6" s="25" t="n">
        <v>3</v>
      </c>
    </row>
    <row r="7" customFormat="false" ht="15" hidden="false" customHeight="false" outlineLevel="0" collapsed="false">
      <c r="A7" s="12" t="s">
        <v>327</v>
      </c>
      <c r="B7" s="25" t="s">
        <v>88</v>
      </c>
    </row>
    <row r="8" customFormat="false" ht="15" hidden="false" customHeight="false" outlineLevel="0" collapsed="false">
      <c r="A8" s="12" t="s">
        <v>328</v>
      </c>
      <c r="B8" s="25" t="s">
        <v>88</v>
      </c>
    </row>
    <row r="10" customFormat="false" ht="15" hidden="false" customHeight="false" outlineLevel="0" collapsed="false">
      <c r="A10" s="11" t="s">
        <v>329</v>
      </c>
    </row>
    <row r="11" customFormat="false" ht="15" hidden="false" customHeight="false" outlineLevel="0" collapsed="false">
      <c r="A11" s="12" t="s">
        <v>48</v>
      </c>
      <c r="B11" s="26" t="str">
        <f aca="false">INDEX('Service Catalog'!$C$5:$C$76,MATCH($B$4,'Service Catalog'!$A$5:$A$76,0))</f>
        <v>Retip prong (first prong)</v>
      </c>
    </row>
    <row r="12" customFormat="false" ht="15" hidden="false" customHeight="false" outlineLevel="0" collapsed="false">
      <c r="A12" s="12" t="s">
        <v>58</v>
      </c>
      <c r="B12" s="26" t="str">
        <f aca="false">INDEX('Service Catalog'!$D$5:$D$76,MATCH($B$4,'Service Catalog'!$A$5:$A$76,0))</f>
        <v>per prong</v>
      </c>
    </row>
    <row r="13" customFormat="false" ht="15" hidden="false" customHeight="false" outlineLevel="0" collapsed="false">
      <c r="A13" s="12" t="s">
        <v>60</v>
      </c>
      <c r="B13" s="26" t="str">
        <f aca="false">INDEX('Service Catalog'!$F$5:$F$76,MATCH($B$4,'Service Catalog'!$A$5:$A$76,0))</f>
        <v>P</v>
      </c>
    </row>
    <row r="14" customFormat="false" ht="15" hidden="false" customHeight="false" outlineLevel="0" collapsed="false">
      <c r="A14" s="12" t="s">
        <v>330</v>
      </c>
      <c r="B14" s="27" t="n">
        <f aca="false">INDEX(Assumptions!$C$5:$E$7,MATCH(B13,Assumptions!$A$5:$A$7,0),MATCH($B$5,Assumptions!$C$4:$E$4,0))</f>
        <v>2</v>
      </c>
    </row>
    <row r="15" customFormat="false" ht="15" hidden="false" customHeight="false" outlineLevel="0" collapsed="false">
      <c r="A15" s="12" t="s">
        <v>331</v>
      </c>
      <c r="B15" s="28" t="n">
        <f aca="false">$B$6*INDEX('Service Catalog'!$P$5:$P$76,MATCH($B$4,'Service Catalog'!$A$5:$A$76,0))*B14+IF(AND($B$7="Yes",$B$5&lt;&gt;"Platinum"),Assumptions!$C$10,0)+IF($B$8="Yes",Assumptions!$C$11,0)</f>
        <v>120</v>
      </c>
    </row>
    <row r="16" customFormat="false" ht="15" hidden="false" customHeight="false" outlineLevel="0" collapsed="false">
      <c r="A16" s="12" t="s">
        <v>332</v>
      </c>
      <c r="B16" s="28" t="n">
        <f aca="false">INDEX('Service Catalog'!$G$5:$O$76,MATCH($B$4,'Service Catalog'!$A$5:$A$76,0),(MATCH($B$5,Assumptions!$C$4:$E$4,0)-1)*3+1)+B15</f>
        <v>168</v>
      </c>
    </row>
    <row r="17" customFormat="false" ht="15" hidden="false" customHeight="false" outlineLevel="0" collapsed="false">
      <c r="A17" s="11" t="s">
        <v>333</v>
      </c>
      <c r="B17" s="29" t="n">
        <f aca="false">INDEX('Service Catalog'!$G$5:$O$76,MATCH($B$4,'Service Catalog'!$A$5:$A$76,0),(MATCH($B$5,Assumptions!$C$4:$E$4,0)-1)*3+2)+B15</f>
        <v>220</v>
      </c>
    </row>
    <row r="18" customFormat="false" ht="15" hidden="false" customHeight="false" outlineLevel="0" collapsed="false">
      <c r="A18" s="12" t="s">
        <v>334</v>
      </c>
      <c r="B18" s="28" t="n">
        <f aca="false">INDEX('Service Catalog'!$G$5:$O$76,MATCH($B$4,'Service Catalog'!$A$5:$A$76,0),(MATCH($B$5,Assumptions!$C$4:$E$4,0)-1)*3+3)+B15</f>
        <v>270</v>
      </c>
    </row>
    <row r="19" customFormat="false" ht="15" hidden="false" customHeight="false" outlineLevel="0" collapsed="false">
      <c r="A19" s="12" t="s">
        <v>335</v>
      </c>
      <c r="B19" s="8" t="str">
        <f aca="false">IF(INDEX('Service Catalog'!$R$5:$R$76,MATCH($B$4,'Service Catalog'!$A$5:$A$76,0))="","n/a",IF($B$8="Yes","Same day / next day",INDEX('Service Catalog'!$Q$5:$Q$76,MATCH($B$4,'Service Catalog'!$A$5:$A$76,0))&amp;" to "&amp;INDEX('Service Catalog'!$R$5:$R$76,MATCH($B$4,'Service Catalog'!$A$5:$A$76,0))&amp;" business days"))</f>
        <v>0 to 2 business days</v>
      </c>
    </row>
    <row r="20" customFormat="false" ht="15" hidden="false" customHeight="false" outlineLevel="0" collapsed="false">
      <c r="A20" s="12" t="s">
        <v>336</v>
      </c>
      <c r="B20" s="8" t="str">
        <f aca="false">IF(INDEX('Service Catalog'!$T$5:$T$76,MATCH($B$4,'Service Catalog'!$A$5:$A$76,0))="","n/a",INDEX('Service Catalog'!$S$5:$S$76,MATCH($B$4,'Service Catalog'!$A$5:$A$76,0))&amp;" to "&amp;INDEX('Service Catalog'!$T$5:$T$76,MATCH($B$4,'Service Catalog'!$A$5:$A$76,0))&amp;" business days")</f>
        <v>5 to 10 business days</v>
      </c>
    </row>
    <row r="21" customFormat="false" ht="15" hidden="false" customHeight="false" outlineLevel="0" collapsed="false">
      <c r="A21" s="12" t="s">
        <v>67</v>
      </c>
      <c r="B21" s="26" t="str">
        <f aca="false">INDEX('Service Catalog'!$U$5:$U$76,MATCH($B$4,'Service Catalog'!$A$5:$A$76,0))</f>
        <v>Yes</v>
      </c>
    </row>
    <row r="22" customFormat="false" ht="60" hidden="false" customHeight="true" outlineLevel="0" collapsed="false">
      <c r="A22" s="12" t="s">
        <v>337</v>
      </c>
      <c r="B22" s="26" t="str">
        <f aca="false">INDEX('Service Catalog'!$V$5:$V$76,MATCH($B$4,'Service Catalog'!$A$5:$A$76,0))</f>
        <v>Macro photo of each prong from 2 angles; count worn / missing prongs. Record center stone shape, est. carat, chips, loose stone (tap test).</v>
      </c>
    </row>
    <row r="24" customFormat="false" ht="15" hidden="false" customHeight="false" outlineLevel="0" collapsed="false">
      <c r="A24" s="6" t="s">
        <v>338</v>
      </c>
    </row>
  </sheetData>
  <dataValidations count="3">
    <dataValidation allowBlank="false" errorStyle="stop" operator="between" showDropDown="false" showErrorMessage="false" showInputMessage="false" sqref="B4" type="list">
      <formula1>'Service Catalog'!$A$5:$A$76</formula1>
      <formula2>0</formula2>
    </dataValidation>
    <dataValidation allowBlank="false" errorStyle="stop" operator="between" showDropDown="false" showErrorMessage="false" showInputMessage="false" sqref="B5" type="list">
      <formula1>"14K,18K,Platinum"</formula1>
      <formula2>0</formula2>
    </dataValidation>
    <dataValidation allowBlank="false" errorStyle="stop" operator="between" showDropDown="false" showErrorMessage="false" showInputMessage="false" sqref="B7:B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6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30" t="s">
        <v>56</v>
      </c>
      <c r="B1" s="30" t="s">
        <v>339</v>
      </c>
      <c r="C1" s="30" t="s">
        <v>340</v>
      </c>
      <c r="D1" s="30" t="s">
        <v>341</v>
      </c>
    </row>
    <row r="2" customFormat="false" ht="26.85" hidden="false" customHeight="false" outlineLevel="0" collapsed="false">
      <c r="A2" s="3" t="s">
        <v>100</v>
      </c>
      <c r="B2" s="3" t="s">
        <v>342</v>
      </c>
      <c r="C2" s="3" t="s">
        <v>343</v>
      </c>
      <c r="D2" s="31" t="s">
        <v>344</v>
      </c>
    </row>
    <row r="3" customFormat="false" ht="15" hidden="false" customHeight="false" outlineLevel="0" collapsed="false">
      <c r="A3" s="3" t="s">
        <v>345</v>
      </c>
      <c r="B3" s="3" t="s">
        <v>346</v>
      </c>
      <c r="C3" s="3" t="s">
        <v>347</v>
      </c>
      <c r="D3" s="31" t="s">
        <v>348</v>
      </c>
    </row>
    <row r="4" customFormat="false" ht="15" hidden="false" customHeight="false" outlineLevel="0" collapsed="false">
      <c r="A4" s="3" t="s">
        <v>349</v>
      </c>
      <c r="B4" s="3" t="s">
        <v>350</v>
      </c>
      <c r="C4" s="3" t="s">
        <v>351</v>
      </c>
      <c r="D4" s="31" t="s">
        <v>352</v>
      </c>
    </row>
    <row r="5" customFormat="false" ht="26.85" hidden="false" customHeight="false" outlineLevel="0" collapsed="false">
      <c r="A5" s="3" t="s">
        <v>92</v>
      </c>
      <c r="B5" s="3" t="s">
        <v>353</v>
      </c>
      <c r="C5" s="3" t="s">
        <v>354</v>
      </c>
      <c r="D5" s="31" t="s">
        <v>355</v>
      </c>
    </row>
    <row r="6" customFormat="false" ht="15" hidden="false" customHeight="false" outlineLevel="0" collapsed="false">
      <c r="A6" s="3" t="s">
        <v>356</v>
      </c>
      <c r="B6" s="3" t="s">
        <v>357</v>
      </c>
      <c r="C6" s="3" t="s">
        <v>358</v>
      </c>
      <c r="D6" s="31" t="s">
        <v>359</v>
      </c>
    </row>
    <row r="7" customFormat="false" ht="15" hidden="false" customHeight="false" outlineLevel="0" collapsed="false">
      <c r="A7" s="3" t="s">
        <v>104</v>
      </c>
      <c r="B7" s="3" t="s">
        <v>360</v>
      </c>
      <c r="C7" s="3" t="s">
        <v>361</v>
      </c>
      <c r="D7" s="31" t="s">
        <v>362</v>
      </c>
    </row>
    <row r="8" customFormat="false" ht="15" hidden="false" customHeight="false" outlineLevel="0" collapsed="false">
      <c r="A8" s="3" t="s">
        <v>363</v>
      </c>
      <c r="B8" s="3" t="s">
        <v>364</v>
      </c>
      <c r="C8" s="3" t="s">
        <v>365</v>
      </c>
      <c r="D8" s="31" t="s">
        <v>366</v>
      </c>
    </row>
    <row r="9" customFormat="false" ht="15" hidden="false" customHeight="false" outlineLevel="0" collapsed="false">
      <c r="A9" s="3" t="s">
        <v>367</v>
      </c>
      <c r="B9" s="3" t="s">
        <v>368</v>
      </c>
      <c r="C9" s="3" t="s">
        <v>369</v>
      </c>
      <c r="D9" s="31" t="s">
        <v>370</v>
      </c>
    </row>
    <row r="10" customFormat="false" ht="26.85" hidden="false" customHeight="false" outlineLevel="0" collapsed="false">
      <c r="A10" s="3" t="s">
        <v>371</v>
      </c>
      <c r="B10" s="3" t="s">
        <v>372</v>
      </c>
      <c r="C10" s="3" t="s">
        <v>373</v>
      </c>
      <c r="D10" s="31" t="s">
        <v>374</v>
      </c>
    </row>
    <row r="11" customFormat="false" ht="26.85" hidden="false" customHeight="false" outlineLevel="0" collapsed="false">
      <c r="A11" s="3" t="s">
        <v>375</v>
      </c>
      <c r="B11" s="3" t="s">
        <v>376</v>
      </c>
      <c r="C11" s="3" t="s">
        <v>377</v>
      </c>
      <c r="D11" s="31" t="s">
        <v>378</v>
      </c>
    </row>
  </sheetData>
  <hyperlinks>
    <hyperlink ref="D2" r:id="rId1" display="https://www.jewelercam.com/repair-price-list/"/>
    <hyperlink ref="D3" r:id="rId2" display="https://myjewelryrepair.com/pricing/"/>
    <hyperlink ref="D4" r:id="rId3" display="https://quickjewelryrepairs.com/pricing/"/>
    <hyperlink ref="D5" r:id="rId4" display="https://robinsonsjewelers.com/blogs/news/common-jewelry-repairs-how-much-they-cost-in-2025-your-guide-to-a-sparkling-comeback"/>
    <hyperlink ref="D6" r:id="rId5" display="https://www.moissaniteco.com/jewelry-repair-side-stone-price-list"/>
    <hyperlink ref="D7" r:id="rId6" display="https://www.svsfinejewelry.com/pages/jewelry-repair"/>
    <hyperlink ref="D8" r:id="rId7" display="https://stonebridgejewelry.com/blog/fine-jewelry-repair-turnaround-time-guide"/>
    <hyperlink ref="D9" r:id="rId8" display="https://jewelryrepairdirect.com/pages/faq"/>
    <hyperlink ref="D10" r:id="rId9" display="https://instoremag.com/here-s-how-shop-expert-david-geller-figures-repair-pricing/"/>
    <hyperlink ref="D11" r:id="rId10" display="https://www.jewelerprofit.com/Blue_Book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2026-10-03T15:56:08Z</dcterms:created>
  <dc:creator>openpyxl</dc:creator>
  <dc:description/>
  <dc:language>en-US</dc:language>
  <cp:lastModifiedBy/>
  <dcterms:modified xsi:type="dcterms:W3CDTF">2026-10-03T15:56:08Z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